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a643fa21d76431b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xlfaults\"/>
    </mc:Choice>
  </mc:AlternateContent>
  <xr:revisionPtr revIDLastSave="0" documentId="13_ncr:1_{1A44F231-FA06-47DA-966B-D26A9986CCE0}" xr6:coauthVersionLast="47" xr6:coauthVersionMax="47" xr10:uidLastSave="{00000000-0000-0000-0000-000000000000}"/>
  <bookViews>
    <workbookView xWindow="-120" yWindow="-120" windowWidth="24240" windowHeight="13020" tabRatio="497" firstSheet="3" activeTab="3" xr2:uid="{2D99AEA3-E3D3-48D2-BF79-9D8C0154BEA9}"/>
  </bookViews>
  <sheets>
    <sheet name="Oculto" sheetId="14" r:id="rId1"/>
    <sheet name="Pendências" sheetId="15" r:id="rId2"/>
    <sheet name="Configurações" sheetId="13" r:id="rId3"/>
    <sheet name="Barramentos" sheetId="3" r:id="rId4"/>
    <sheet name="Transformadores" sheetId="4" r:id="rId5"/>
    <sheet name="Linhas de Transmissão" sheetId="5" r:id="rId6"/>
    <sheet name="Máquinas" sheetId="6" r:id="rId7"/>
    <sheet name="Carga" sheetId="7" r:id="rId8"/>
    <sheet name="Transformadores 3 Enrolamentos" sheetId="8" r:id="rId9"/>
    <sheet name="Y Barra (+) (-)" sheetId="1" r:id="rId10"/>
    <sheet name="Z Barra (+) (-)" sheetId="9" r:id="rId11"/>
    <sheet name="Y Barra (0)" sheetId="10" r:id="rId12"/>
    <sheet name="Z Barra (0)" sheetId="11" r:id="rId13"/>
    <sheet name="Relatório" sheetId="12" r:id="rId14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6" l="1"/>
  <c r="O3" i="6"/>
  <c r="L3" i="4"/>
  <c r="M3" i="4"/>
  <c r="N3" i="4"/>
  <c r="O3" i="4"/>
  <c r="E2" i="13"/>
  <c r="F2" i="13"/>
  <c r="O2" i="4" l="1"/>
  <c r="N2" i="4"/>
  <c r="M2" i="4"/>
  <c r="L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sharedStrings.xml><?xml version="1.0" encoding="utf-8"?>
<sst xmlns="http://schemas.openxmlformats.org/spreadsheetml/2006/main" count="108" uniqueCount="73">
  <si>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</si>
  <si>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</si>
  <si>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</si>
  <si>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</si>
  <si>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</si>
  <si>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</si>
  <si>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</si>
  <si>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</si>
  <si>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</si>
  <si>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</si>
  <si>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</si>
  <si>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</si>
  <si>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</si>
  <si>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</si>
  <si>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</si>
  <si>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</si>
  <si>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</si>
  <si>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</si>
  <si>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</si>
  <si>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</si>
  <si>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</si>
  <si>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</si>
  <si>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</si>
  <si>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</si>
  <si>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</si>
  <si>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</si>
  <si>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</si>
  <si>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</si>
  <si>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</si>
  <si>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</si>
  <si>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</si>
  <si>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</si>
  <si>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</si>
  <si>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</si>
  <si>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</si>
  <si>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</si>
  <si>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</si>
  <si>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Impedância de Falta R (Ω)</t>
  </si>
  <si>
    <t>Impedância de Falta X (Ω)</t>
  </si>
  <si>
    <t>Impedância de Falta R (pu)</t>
  </si>
  <si>
    <t>Impedância de Falta X (pu)</t>
  </si>
  <si>
    <t>Yt</t>
  </si>
  <si>
    <t>PU</t>
  </si>
  <si>
    <t>G4</t>
  </si>
  <si>
    <t>Trafo 1</t>
  </si>
  <si>
    <t>Trafo 2</t>
  </si>
  <si>
    <t>Adicionar resistência de neutro no transformador</t>
  </si>
  <si>
    <t>1)</t>
  </si>
  <si>
    <t>Monofásico</t>
  </si>
  <si>
    <t>2)</t>
  </si>
  <si>
    <t>Caso o módulo do fasor seja zero, zerar tambem a parte angular do fasor</t>
  </si>
  <si>
    <t>2.1)</t>
  </si>
  <si>
    <t>Nessa função tem a opção de deixar o fasor em pu OU real</t>
  </si>
  <si>
    <t>IEEE 4 Barras</t>
  </si>
  <si>
    <t>3)</t>
  </si>
  <si>
    <t>Preencher com zeros as celulas em branco caso o arrombado ão faça</t>
  </si>
  <si>
    <t>4)</t>
  </si>
  <si>
    <t>Conferir se a impedância de curto está funcional</t>
  </si>
  <si>
    <t>Yt-D</t>
  </si>
  <si>
    <t>5)</t>
  </si>
  <si>
    <t>Incluir trafo defasador</t>
  </si>
  <si>
    <t>5.1)</t>
  </si>
  <si>
    <t>Incluir Trafo com tap variavel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</si>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</sst>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80"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2" insertRowShift="1" totalsRowShown="0" headerRowDxfId="65" dataDxfId="64">
  <autoFilter ref="A1:F2" xr:uid="{193FD222-520A-4DD8-BE18-987EE612A9D0}"/>
  <tableColumns count="6">
    <tableColumn id="3" xr3:uid="{CA127CF5-E49A-4A9B-B187-4761AA1A79D7}" name="Tipo de Curto Circuito" dataDxfId="63"/>
    <tableColumn id="4" xr3:uid="{88F28AA7-C36A-4434-AD6B-50BE92E74F4D}" name="Barra de Ocorrência" dataDxfId="62"/>
    <tableColumn id="1" xr3:uid="{F4241A51-9F4A-4C52-8A84-2A790858DBF2}" name="Impedância de Falta R (Ω)" dataDxfId="61"/>
    <tableColumn id="5" xr3:uid="{27F9348A-202C-4C0A-A004-3C442352EC0A}" name="Impedância de Falta X (Ω)" dataDxfId="60"/>
    <tableColumn id="6" xr3:uid="{1BF22A3B-7D9D-4AC4-95DB-628DCE968BE5}" name="Impedância de Falta R (pu)" dataDxfId="59">
      <calculatedColumnFormula>Configurações[[#This Row],[Impedância de Falta R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Impedância de Falta X (pu)" dataDxfId="58">
      <calculatedColumnFormula>Configurações[[#This Row],[Impedância de Falta X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57">
  <autoFilter ref="A1:C5" xr:uid="{185A231E-D573-421A-8DE0-86DC8EC5B091}"/>
  <tableColumns count="3">
    <tableColumn id="1" xr3:uid="{8EBD12C1-4E78-43A6-AE95-30F1337B03D1}" name="Nome" dataDxfId="56"/>
    <tableColumn id="2" xr3:uid="{CFD29857-E1CA-4766-A849-933A0A451513}" name="Número" dataDxfId="55"/>
    <tableColumn id="3" xr3:uid="{B100B757-52E1-499F-9BC6-78F92CB8E714}" name="Tensão (kV)" dataDxfId="5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O3" totalsRowShown="0" dataDxfId="53">
  <autoFilter ref="A1:O3" xr:uid="{A4AC50ED-6DE4-4C38-93EE-BDF3497EA246}"/>
  <tableColumns count="15">
    <tableColumn id="1" xr3:uid="{39101201-31D4-4805-BA09-578CF4254661}" name="Nome" dataDxfId="52"/>
    <tableColumn id="2" xr3:uid="{82F12B74-9B8E-4129-9D60-29194591E977}" name="Potência Nominal (MVA)" dataDxfId="51"/>
    <tableColumn id="3" xr3:uid="{3676778F-0DD3-4FF1-ABF3-91F631C97AB9}" name="Barra de" dataDxfId="50"/>
    <tableColumn id="4" xr3:uid="{85CA93BC-10AF-4454-9E5C-AB0AA858497E}" name="Tensão Primário (kV)" dataDxfId="49"/>
    <tableColumn id="5" xr3:uid="{F6BF0648-8461-4D3C-BAF8-B44FF50EBC42}" name="Barra para" dataDxfId="48"/>
    <tableColumn id="6" xr3:uid="{788BEFB8-3595-4644-A922-A3C31BA8827C}" name="Tensão Secundário (kV)" dataDxfId="47"/>
    <tableColumn id="7" xr3:uid="{B0A73F71-8999-46E8-8E3D-7A74ED6AD1DE}" name="X1 (%)" dataDxfId="46"/>
    <tableColumn id="8" xr3:uid="{683A169E-13B2-47A8-905B-31A9A7946BFF}" name="X0 (%)" dataDxfId="45"/>
    <tableColumn id="9" xr3:uid="{0CED62B1-AB9E-472F-B905-855FCDDA5621}" name="XN P (%)" dataDxfId="44"/>
    <tableColumn id="10" xr3:uid="{5A25097B-1431-4425-93D5-7DA14A630D4D}" name="XN S (%)" dataDxfId="43"/>
    <tableColumn id="11" xr3:uid="{17BC764E-AC0C-41D2-A895-E25CF32BD66D}" name="Tipo de Conexão" dataDxfId="42"/>
    <tableColumn id="12" xr3:uid="{946F0932-D26E-4D0F-89EC-C2C6C61F8B7C}" name="X1 (pu) Base" dataDxfId="41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40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39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38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79">
  <autoFilter ref="A1:M2" xr:uid="{4C6B18B1-E121-4D7E-AA00-B30E64F151BF}"/>
  <tableColumns count="13">
    <tableColumn id="1" xr3:uid="{30120507-59B7-4E39-9736-DD004A4CF5CB}" name="Nome" dataDxfId="78"/>
    <tableColumn id="2" xr3:uid="{AB8230B4-9A4A-44EF-BB87-C4CACBD18C5F}" name="Barra de" dataDxfId="77"/>
    <tableColumn id="3" xr3:uid="{B4EB3D4B-781C-4650-BEEA-30E6D7A81A35}" name="Barra para" dataDxfId="76"/>
    <tableColumn id="4" xr3:uid="{330EF97A-C5A9-4C11-9A8E-CE8C64A31B98}" name="Tensão (kV)" dataDxfId="75"/>
    <tableColumn id="5" xr3:uid="{E8D819A1-6394-472E-9E16-3B2EA093E29D}" name="Potência Nominal (MVA)" dataDxfId="74"/>
    <tableColumn id="6" xr3:uid="{F11529B5-BE00-42BC-890E-64E0E6AFF6F1}" name="R1 (%)" dataDxfId="73"/>
    <tableColumn id="7" xr3:uid="{CFED6F8E-5D17-4662-ACC5-C3E2ABE880FB}" name="R0 (%)" dataDxfId="72"/>
    <tableColumn id="8" xr3:uid="{7430D406-FE3E-4B08-BB6D-3A8D932E918D}" name="X1 (%)" dataDxfId="71"/>
    <tableColumn id="9" xr3:uid="{94284ABF-4FFF-4BE1-B200-614B09A8B34C}" name="X0 (%)" dataDxfId="70"/>
    <tableColumn id="10" xr3:uid="{C5D7E913-E161-4147-8CA6-551A69411E75}" name="R1 (pu) Base" dataDxfId="69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68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67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66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37">
  <autoFilter ref="A1:R3" xr:uid="{B599559C-32F1-4236-AECA-7D9877860AA5}"/>
  <tableColumns count="18">
    <tableColumn id="1" xr3:uid="{37D2B7CF-5760-4FE5-B9E3-B0DCD2A26D81}" name="Nome" dataDxfId="36"/>
    <tableColumn id="2" xr3:uid="{DDB0FCF3-D10E-454C-83FE-382C8D19A917}" name="Tipo de Máquina" dataDxfId="35"/>
    <tableColumn id="3" xr3:uid="{41B724F9-FA51-4405-81DF-58B3AE9B4DBC}" name="Barra Conectada" dataDxfId="34"/>
    <tableColumn id="4" xr3:uid="{6B3CE436-99E4-492E-85DA-15FB0B060EDA}" name="Potência Nominal (MVA)" dataDxfId="33"/>
    <tableColumn id="5" xr3:uid="{E5D2863F-65FE-4C5B-A9EB-346763EA179D}" name="Tensão (kV)" dataDxfId="17"/>
    <tableColumn id="6" xr3:uid="{68B25089-7F4B-4E85-8AAE-DE5FA47E5B93}" name="R1 (%)" dataDxfId="16"/>
    <tableColumn id="7" xr3:uid="{D4859BAA-B7F8-4C05-B645-D585A105F903}" name="R0 (%)" dataDxfId="15"/>
    <tableColumn id="17" xr3:uid="{409E9AB5-8B08-48E6-A7A0-793C14053FCE}" name="RN (%)" dataDxfId="14"/>
    <tableColumn id="8" xr3:uid="{BBBE4417-080E-4E8B-BC6C-05E4524DE3F5}" name="X1 (%)" dataDxfId="13"/>
    <tableColumn id="9" xr3:uid="{05140983-8FCC-4839-B46F-8E7004364620}" name="X0 (%)" dataDxfId="12"/>
    <tableColumn id="10" xr3:uid="{BF9AB535-205A-4F79-84D5-5550453715EF}" name="XN (%)" dataDxfId="10"/>
    <tableColumn id="11" xr3:uid="{3102012A-28C3-429F-ABCF-987A3E858B48}" name="Tipo de Conexão" dataDxfId="11"/>
    <tableColumn id="12" xr3:uid="{E1B4EC4F-7076-41FF-BCB0-E7F6CF0E98EF}" name="R1 (pu) Base" dataDxfId="32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31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18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30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29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28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27">
  <autoFilter ref="A1:L2" xr:uid="{A5F92FF0-A218-472D-B9E3-FC6DA3123327}"/>
  <tableColumns count="12">
    <tableColumn id="1" xr3:uid="{910FA3BB-C4BB-4AC3-AF9E-D80012ED1C16}" name="Nome" dataDxfId="26"/>
    <tableColumn id="2" xr3:uid="{F4DC6F70-034F-4E4F-BC64-1BAA423C9AB6}" name="Barra Conectada" dataDxfId="25"/>
    <tableColumn id="3" xr3:uid="{16DC17B3-2908-4BE5-AD8D-A0BE9806AD93}" name="Tensão (kV)" dataDxfId="24"/>
    <tableColumn id="4" xr3:uid="{4208AB9B-5640-49E2-9518-C539EBBA5291}" name="Potência Ativa (MW)" dataDxfId="23"/>
    <tableColumn id="5" xr3:uid="{471FEBBB-894E-44C5-8AF7-578155197899}" name="Potência Reativa (MVAr)" dataDxfId="22"/>
    <tableColumn id="9" xr3:uid="{406B6459-142D-4994-AB85-BA63DACB76A0}" name="RN (%)" dataDxfId="9"/>
    <tableColumn id="10" xr3:uid="{1D9D8C90-6B2F-4244-B02F-C6CE87681896}" name="XN (%)" dataDxfId="8"/>
    <tableColumn id="6" xr3:uid="{3161E565-B978-4834-B215-F8B8B19F1373}" name="Tipo de Conexão" dataDxfId="21"/>
    <tableColumn id="7" xr3:uid="{0BD04F28-6FD5-49ED-863C-5834525FEF1B}" name="R1 (pu) Base" dataDxfId="20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1"/>
    <tableColumn id="8" xr3:uid="{B18D7132-5687-4BD9-BD13-AC795EE47DE9}" name="X1 (pu) Base" dataDxfId="19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C6" sqref="C6"/>
    </sheetView>
  </sheetViews>
  <sheetFormatPr defaultRowHeight="15" x14ac:dyDescent="0.25"/>
  <sheetData>
    <row r="1" spans="1:1" x14ac:dyDescent="0.25">
      <c r="A1" s="7">
        <v>100</v>
      </c>
    </row>
    <row r="2" spans="1:1" x14ac:dyDescent="0.25">
      <c r="A2" t="s">
        <v>53</v>
      </c>
    </row>
    <row r="3" spans="1:1" x14ac:dyDescent="0.25">
      <c r="A3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B11"/>
  <sheetViews>
    <sheetView workbookViewId="0">
      <selection activeCell="B12" sqref="B12"/>
    </sheetView>
  </sheetViews>
  <sheetFormatPr defaultRowHeight="15" x14ac:dyDescent="0.25"/>
  <sheetData>
    <row r="1" spans="1:2" x14ac:dyDescent="0.25">
      <c r="A1" t="s">
        <v>47</v>
      </c>
      <c r="B1" t="s">
        <v>46</v>
      </c>
    </row>
    <row r="2" spans="1:2" x14ac:dyDescent="0.25">
      <c r="A2" t="s">
        <v>49</v>
      </c>
      <c r="B2" t="s">
        <v>50</v>
      </c>
    </row>
    <row r="3" spans="1:2" x14ac:dyDescent="0.25">
      <c r="A3" t="s">
        <v>51</v>
      </c>
      <c r="B3" t="s">
        <v>52</v>
      </c>
    </row>
    <row r="4" spans="1:2" x14ac:dyDescent="0.25">
      <c r="A4" t="s">
        <v>54</v>
      </c>
      <c r="B4" t="s">
        <v>55</v>
      </c>
    </row>
    <row r="5" spans="1:2" x14ac:dyDescent="0.25">
      <c r="A5" t="s">
        <v>56</v>
      </c>
      <c r="B5" t="s">
        <v>57</v>
      </c>
    </row>
    <row r="6" spans="1:2" x14ac:dyDescent="0.25">
      <c r="A6" t="s">
        <v>59</v>
      </c>
      <c r="B6" t="s">
        <v>60</v>
      </c>
    </row>
    <row r="7" spans="1:2" x14ac:dyDescent="0.25">
      <c r="A7" t="s">
        <v>61</v>
      </c>
      <c r="B7" t="s">
        <v>62</v>
      </c>
    </row>
    <row r="8" spans="1:2" x14ac:dyDescent="0.25">
      <c r="A8" t="s">
        <v>63</v>
      </c>
      <c r="B8" t="s">
        <v>64</v>
      </c>
    </row>
    <row r="9" spans="1:2" x14ac:dyDescent="0.25">
      <c r="A9" t="s">
        <v>65</v>
      </c>
      <c r="B9" t="s">
        <v>66</v>
      </c>
    </row>
    <row r="10" spans="1:2" x14ac:dyDescent="0.25">
      <c r="A10" t="s">
        <v>67</v>
      </c>
      <c r="B10" t="s">
        <v>68</v>
      </c>
    </row>
    <row r="11" spans="1:2" x14ac:dyDescent="0.25">
      <c r="A11" t="s">
        <v>71</v>
      </c>
      <c r="B11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workbookViewId="0">
      <selection activeCell="G5" sqref="G5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37</v>
      </c>
      <c r="D1" s="1" t="s">
        <v>38</v>
      </c>
      <c r="E1" s="1" t="s">
        <v>39</v>
      </c>
      <c r="F1" s="1" t="s">
        <v>40</v>
      </c>
      <c r="H1" s="5" t="s">
        <v>35</v>
      </c>
      <c r="I1" s="6">
        <v>100</v>
      </c>
    </row>
    <row r="2" spans="1:9" x14ac:dyDescent="0.25">
      <c r="A2" s="1" t="s">
        <v>48</v>
      </c>
      <c r="B2" s="1">
        <v>1</v>
      </c>
      <c r="C2" s="1">
        <v>0</v>
      </c>
      <c r="D2" s="1">
        <v>0</v>
      </c>
      <c r="E2" s="2">
        <f>Configurações[[#This Row],[Impedância de Falta R (Ω)]] /
(
POWER(
_xlfn.XLOOKUP(Configurações[[#This Row],[Barra de Ocorrência]],Barramentos[Número],Barramentos[Tensão (kV)],"-",0),
2
)
/Potencia_Base
)</f>
        <v>0</v>
      </c>
      <c r="F2" s="2">
        <f>Configurações[[#This Row],[Impedância de Falta X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" xr:uid="{D7AD2082-6D50-4A04-911E-F1BE7F72159B}">
      <formula1>INDIRECT("Barramentos[Número]")</formula1>
    </dataValidation>
    <dataValidation type="list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tabSelected="1" workbookViewId="0">
      <selection activeCell="H5" sqref="H5"/>
    </sheetView>
  </sheetViews>
  <sheetFormatPr defaultRowHeight="15" x14ac:dyDescent="0.25"/>
  <cols>
    <col min="2" max="2" width="10.28515625" customWidth="1"/>
    <col min="3" max="3" width="13.57031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">
        <v>1</v>
      </c>
      <c r="C2" s="3">
        <v>15</v>
      </c>
    </row>
    <row r="3" spans="1:3" x14ac:dyDescent="0.25">
      <c r="A3" s="1" t="s">
        <v>25</v>
      </c>
      <c r="B3" s="1">
        <v>2</v>
      </c>
      <c r="C3" s="3">
        <v>345</v>
      </c>
    </row>
    <row r="4" spans="1:3" x14ac:dyDescent="0.25">
      <c r="A4" s="1" t="s">
        <v>29</v>
      </c>
      <c r="B4" s="1">
        <v>3</v>
      </c>
      <c r="C4" s="3">
        <v>345</v>
      </c>
    </row>
    <row r="5" spans="1:3" x14ac:dyDescent="0.25">
      <c r="A5" s="1" t="s">
        <v>30</v>
      </c>
      <c r="B5" s="1">
        <v>4</v>
      </c>
      <c r="C5" s="3">
        <v>15</v>
      </c>
    </row>
  </sheetData>
  <conditionalFormatting sqref="A2:B5">
    <cfRule type="duplicateValues" dxfId="7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O3"/>
  <sheetViews>
    <sheetView showGridLines="0" workbookViewId="0">
      <selection activeCell="K3" sqref="K3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10.42578125" customWidth="1"/>
    <col min="8" max="8" width="11.140625" customWidth="1"/>
    <col min="9" max="9" width="10.7109375" customWidth="1"/>
    <col min="10" max="10" width="12.42578125" customWidth="1"/>
    <col min="11" max="11" width="17.5703125" customWidth="1"/>
    <col min="12" max="13" width="14.140625" customWidth="1"/>
    <col min="14" max="14" width="16.140625" customWidth="1"/>
    <col min="15" max="15" width="16" customWidth="1"/>
  </cols>
  <sheetData>
    <row r="1" spans="1:1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8</v>
      </c>
      <c r="H1" t="s">
        <v>9</v>
      </c>
      <c r="I1" t="s">
        <v>16</v>
      </c>
      <c r="J1" t="s">
        <v>17</v>
      </c>
      <c r="K1" t="s">
        <v>18</v>
      </c>
      <c r="L1" t="s">
        <v>12</v>
      </c>
      <c r="M1" t="s">
        <v>13</v>
      </c>
      <c r="N1" t="s">
        <v>19</v>
      </c>
      <c r="O1" t="s">
        <v>20</v>
      </c>
    </row>
    <row r="2" spans="1:15" s="1" customFormat="1" x14ac:dyDescent="0.25">
      <c r="A2" s="1" t="s">
        <v>44</v>
      </c>
      <c r="B2" s="1">
        <v>175</v>
      </c>
      <c r="C2" s="1">
        <v>1</v>
      </c>
      <c r="D2" s="1">
        <v>15</v>
      </c>
      <c r="E2" s="1">
        <v>2</v>
      </c>
      <c r="F2" s="1">
        <v>345</v>
      </c>
      <c r="G2" s="1">
        <v>8</v>
      </c>
      <c r="H2" s="1">
        <v>8</v>
      </c>
      <c r="I2" s="1">
        <v>0</v>
      </c>
      <c r="J2" s="1">
        <v>0</v>
      </c>
      <c r="K2" s="1" t="s">
        <v>58</v>
      </c>
      <c r="L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M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N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15" x14ac:dyDescent="0.25">
      <c r="A3" s="1" t="s">
        <v>45</v>
      </c>
      <c r="B3" s="1">
        <v>175</v>
      </c>
      <c r="C3" s="1">
        <v>3</v>
      </c>
      <c r="D3" s="1">
        <v>345</v>
      </c>
      <c r="E3" s="1">
        <v>4</v>
      </c>
      <c r="F3" s="1">
        <v>15</v>
      </c>
      <c r="G3" s="1">
        <v>7</v>
      </c>
      <c r="H3" s="1">
        <v>7</v>
      </c>
      <c r="I3" s="1">
        <v>0</v>
      </c>
      <c r="J3" s="1">
        <v>0</v>
      </c>
      <c r="K3" s="1" t="s">
        <v>58</v>
      </c>
      <c r="L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M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N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6" priority="16"/>
  </conditionalFormatting>
  <dataValidations count="4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J3" xr:uid="{A4B660CB-078C-4003-9D0E-7C3B167AC11D}">
      <formula1>0</formula1>
    </dataValidation>
    <dataValidation type="list" allowBlank="1" showInputMessage="1" showErrorMessage="1" sqref="K2:K3" xr:uid="{F80BEEB6-9C5B-461C-A2CE-1083D85F28FD}">
      <formula1>"Y-Y,Yt-Y,Y-Yt,Yt-Yt,Y-D,D-Y,Yt-D,D-Yt,D-D"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topLeftCell="A21" workbookViewId="0">
      <selection activeCell="G28" sqref="G28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">
        <v>2</v>
      </c>
      <c r="C2" s="1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</row>
  </sheetData>
  <conditionalFormatting sqref="A2">
    <cfRule type="duplicateValues" dxfId="5" priority="17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topLeftCell="B1" workbookViewId="0">
      <selection activeCell="K1" sqref="K1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69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70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41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43</v>
      </c>
      <c r="B3" s="1" t="s">
        <v>32</v>
      </c>
      <c r="C3" s="1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12.25</v>
      </c>
      <c r="K3" s="4">
        <v>0</v>
      </c>
      <c r="L3" s="1" t="s">
        <v>41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4" priority="11"/>
    <cfRule type="duplicateValues" dxfId="3" priority="12"/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E21" sqref="E21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69</v>
      </c>
      <c r="G1" t="s">
        <v>23</v>
      </c>
      <c r="H1" t="s">
        <v>18</v>
      </c>
      <c r="I1" t="s">
        <v>10</v>
      </c>
      <c r="J1" t="s">
        <v>70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2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"/>
  <sheetViews>
    <sheetView showGridLines="0" showRowColHeaders="0" workbookViewId="0">
      <selection activeCell="F13" sqref="F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6f54e0dd-538f-42f8-935e-c2daa16424cf.png"/><Relationship Id="matriz" Type="http://schemas.openxmlformats.org/officeDocument/2006/relationships/image" Target="images/7f853609-9da4-4eb5-a00d-b907aa80d8de.png"/><Relationship Id="diagrama" Type="http://schemas.openxmlformats.org/officeDocument/2006/relationships/image" Target="images/ca482425-90aa-4bd8-9a0b-99eeeb7eb073.png"/><Relationship Id="barra" Type="http://schemas.openxmlformats.org/officeDocument/2006/relationships/image" Target="images/1f0926bf-327c-4abd-9a41-f937c70e0336.png"/><Relationship Id="limpar" Type="http://schemas.openxmlformats.org/officeDocument/2006/relationships/image" Target="images/8dac4096-1e4a-4c65-ad30-49001b1eba17.png"/><Relationship Id="linha" Type="http://schemas.openxmlformats.org/officeDocument/2006/relationships/image" Target="images/ddaa6a48-737d-464d-9f2f-a9e029986e2c.png"/><Relationship Id="shunt" Type="http://schemas.openxmlformats.org/officeDocument/2006/relationships/image" Target="images/8efbd797-bbb0-4f5b-be76-6883cf8ffe47.png"/><Relationship Id="exportar" Type="http://schemas.openxmlformats.org/officeDocument/2006/relationships/image" Target="images/a1f9dc5e-7f92-492c-a652-e1331e0811eb.png"/><Relationship Id="transformador_3_enrolamentos" Type="http://schemas.openxmlformats.org/officeDocument/2006/relationships/image" Target="images/f6df8605-af56-46b7-ae5a-34e2e2a47c04.png"/><Relationship Id="desenvolvedor" Type="http://schemas.openxmlformats.org/officeDocument/2006/relationships/image" Target="images/eafa55b3-40e2-47ee-96e8-e5ef6fa7720b.png"/><Relationship Id="relatorio" Type="http://schemas.openxmlformats.org/officeDocument/2006/relationships/image" Target="images/9b5f9e09-eabf-4a14-ad41-52f86ba66603.png"/><Relationship Id="maquina" Type="http://schemas.openxmlformats.org/officeDocument/2006/relationships/image" Target="images/28cb3cc1-d01f-454a-a7ca-d72eba549916.png"/><Relationship Id="informacoes" Type="http://schemas.openxmlformats.org/officeDocument/2006/relationships/image" Target="images/efbdb42e-db07-4fab-b399-121ef1a2e828.png"/><Relationship Id="configuracoes" Type="http://schemas.openxmlformats.org/officeDocument/2006/relationships/image" Target="images/b395c3e2-ad78-4a22-8b30-2207a50aa819.png"/><Relationship Id="carregar" Type="http://schemas.openxmlformats.org/officeDocument/2006/relationships/image" Target="images/b2ba3f9d-67e0-4793-9a52-1c38a9cdb550.png"/><Relationship Id="salvar" Type="http://schemas.openxmlformats.org/officeDocument/2006/relationships/image" Target="images/f3ef4d10-051d-4756-ba0c-d1cd37a8998e.png"/><Relationship Id="rodar" Type="http://schemas.openxmlformats.org/officeDocument/2006/relationships/image" Target="images/9efaa4d2-7de8-40a3-a135-1086115bb6e7.png"/><Relationship Id="manual" Type="http://schemas.openxmlformats.org/officeDocument/2006/relationships/image" Target="images/496b1fff-da11-480e-afa9-b120167e16c0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2026-03-18T20:28:49Z</dcterms:modified>
</cp:coreProperties>
</file>
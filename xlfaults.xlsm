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9D4C6E3C-8268-4811-9324-AC70636219D1}" xr6:coauthVersionLast="47" xr6:coauthVersionMax="47" xr10:uidLastSave="{00000000-0000-0000-0000-000000000000}"/>
  <bookViews>
    <workbookView xWindow="-120" yWindow="-120" windowWidth="29040" windowHeight="15720" tabRatio="497" firstSheet="7" activeTab="14" xr2:uid="{2D99AEA3-E3D3-48D2-BF79-9D8C0154BEA9}"/>
  </bookViews>
  <sheets>
    <sheet name="Teste" sheetId="16" state="hidden" r:id="rId1"/>
    <sheet name="Oculto" sheetId="14" r:id="rId2"/>
    <sheet name="Pendências" sheetId="15" r:id="rId3"/>
    <sheet name="Configurações" sheetId="13" r:id="rId4"/>
    <sheet name="Barramentos" sheetId="3" r:id="rId5"/>
    <sheet name="Transformadores" sheetId="4" r:id="rId6"/>
    <sheet name="Linhas de Transmissão" sheetId="5" r:id="rId7"/>
    <sheet name="Máquinas" sheetId="6" r:id="rId8"/>
    <sheet name="Carga" sheetId="7" r:id="rId9"/>
    <sheet name="Transformadores 3 Enrolamentos" sheetId="8" state="hidden" r:id="rId10"/>
    <sheet name="Y Barra (+) (-)" sheetId="1" r:id="rId11"/>
    <sheet name="Z Barra (+) (-)" sheetId="9" r:id="rId12"/>
    <sheet name="Y Barra (0)" sheetId="10" r:id="rId13"/>
    <sheet name="Z Barra (0)" sheetId="11" r:id="rId14"/>
    <sheet name="Relatório" sheetId="12" r:id="rId15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" l="1"/>
  <c r="D3" i="3"/>
  <c r="D4" i="3"/>
  <c r="D5" i="3"/>
  <c r="Y2" i="4"/>
  <c r="Y3" i="4"/>
  <c r="N2" i="5"/>
  <c r="S2" i="6"/>
  <c r="S3" i="6"/>
  <c r="G2" i="7"/>
  <c r="F2" i="7"/>
  <c r="H2" i="7" s="1"/>
  <c r="T2" i="4"/>
  <c r="T3" i="4"/>
  <c r="S2" i="4"/>
  <c r="S3" i="4"/>
  <c r="R2" i="4"/>
  <c r="R3" i="4"/>
  <c r="Q2" i="4"/>
  <c r="Q3" i="4"/>
  <c r="G3" i="13"/>
  <c r="I3" i="13" s="1"/>
  <c r="H3" i="13"/>
  <c r="O2" i="6"/>
  <c r="O3" i="6"/>
  <c r="U3" i="4"/>
  <c r="V3" i="4"/>
  <c r="W3" i="4"/>
  <c r="X3" i="4"/>
  <c r="G2" i="13"/>
  <c r="I2" i="13" s="1"/>
  <c r="H2" i="13"/>
  <c r="X2" i="4" l="1"/>
  <c r="W2" i="4"/>
  <c r="V2" i="4"/>
  <c r="U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sharedStrings.xml><?xml version="1.0" encoding="utf-8"?>
<sst xmlns="http://schemas.openxmlformats.org/spreadsheetml/2006/main" count="293" uniqueCount="179">
  <si>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</si>
  <si>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</si>
  <si>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</si>
  <si>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</si>
  <si>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</si>
  <si>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</si>
  <si>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</si>
  <si>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</si>
  <si>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</si>
  <si>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</si>
  <si>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</si>
  <si>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</si>
  <si>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</si>
  <si>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</si>
  <si>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</si>
  <si>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</si>
  <si>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</si>
  <si>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</si>
  <si>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</si>
  <si>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</si>
  <si>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</si>
  <si>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</si>
  <si>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</si>
  <si>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</si>
  <si>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</si>
  <si>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</si>
  <si>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</si>
  <si>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</si>
  <si>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</si>
  <si>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</si>
  <si>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</si>
  <si>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</si>
  <si>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</si>
  <si>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</si>
  <si>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</si>
  <si>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Linha 2-3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</si>
  <si>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</si>
  <si>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</si>
  <si>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</si>
  <si>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</si>
  <si>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</si>
  <si>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</si>
  <si>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</si>
  <si>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</si>
  <si>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</si>
  <si>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</si>
  <si>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</si>
  <si>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</si>
  <si>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</si>
  <si>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</si>
  <si>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</si>
  <si>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</si>
  <si>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</si>
  <si>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</si>
  <si>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</si>
  <si>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</si>
  <si>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</si>
  <si>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</si>
  <si>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</si>
  <si>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</si>
  <si>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</si>
  <si>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</si>
  <si>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</si>
  <si>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Real</t>
  </si>
  <si>
    <t>Monofásico</t>
  </si>
  <si>
    <t>0.0000-26.8750j</t>
  </si>
  <si>
    <t>0.0000+21.8750j</t>
  </si>
  <si>
    <t>0.0000+0.0000j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</si>
  <si>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</si>
  <si>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</si>
  <si>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</si>
  <si>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</si>
  <si>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</si>
  <si>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</si>
  <si>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</si>
  <si>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</si>
  <si>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</si>
  <si>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</si>
  <si>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</si>
  <si>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</si>
  <si>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</si>
  <si>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</si>
  <si>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</si>
  <si>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0.0000+5.0000j</t>
  </si>
  <si>
    <t>0.0000-33.0000j</t>
  </si>
  <si>
    <t>Yt-Yt</t>
  </si>
  <si>
    <t>0.0000-30.0000j</t>
  </si>
  <si>
    <t>9)</t>
  </si>
  <si>
    <t>Resistência de Falta (Ω)</t>
  </si>
  <si>
    <t>Reatância de Falta (Ω)</t>
  </si>
  <si>
    <t>Reatância de Falta (pu)</t>
  </si>
  <si>
    <t>Resistência de Falta (pu)</t>
  </si>
  <si>
    <t xml:space="preserve">    </t>
  </si>
  <si>
    <t>Defasagem (°)</t>
  </si>
  <si>
    <t>Yt-D</t>
  </si>
  <si>
    <t>0.0000-5.0000j</t>
  </si>
  <si>
    <t>0.0000+0.0314j</t>
  </si>
  <si>
    <t>0.0000+0.3650j</t>
  </si>
  <si>
    <t>0.0000+0.1650j</t>
  </si>
  <si>
    <t>0.0000+0.1250j</t>
  </si>
  <si>
    <t>Incluir Trafo com tap variavel ???</t>
  </si>
  <si>
    <t>Bifásico-Terra</t>
  </si>
  <si>
    <t>10)</t>
  </si>
  <si>
    <t>Exportar valors de curto, verificar fasor )&lt;0°</t>
  </si>
  <si>
    <t>Remover linhas nans de todas as tabelas, podem ocasionar erros...</t>
  </si>
  <si>
    <t>IEEE 4 Barras teste 2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</si>
  <si>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</si>
  <si>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</si>
  <si>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</si>
  <si>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</si>
  <si>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</si>
  <si>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</si>
  <si>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11)</t>
  </si>
  <si>
    <t>Incluir tensão de pré falta</t>
  </si>
  <si>
    <t>7.1)</t>
  </si>
  <si>
    <t>Escolher uma cor e pintar colunas com fórmulas</t>
  </si>
  <si>
    <t>Status</t>
  </si>
  <si>
    <t>7.2)</t>
  </si>
  <si>
    <t>Coluna de status, informando se o preenchimento foi correto</t>
  </si>
  <si>
    <t>Data: 06/04/2026 15:53:14</t>
  </si>
  <si>
    <t>Curto Circuito Monofásico na Barra 4</t>
  </si>
  <si>
    <t>Curto Circuito Bifásico-Terra na Barra 1</t>
  </si>
  <si>
    <t>Correntes de Curto Circuito (kA)</t>
  </si>
  <si>
    <t>IF"</t>
  </si>
  <si>
    <t>Fase A</t>
  </si>
  <si>
    <t>Fase B</t>
  </si>
  <si>
    <t>Fase C</t>
  </si>
  <si>
    <t>Seq. (0)</t>
  </si>
  <si>
    <t>Seq. (+)</t>
  </si>
  <si>
    <t>Seq. (-)</t>
  </si>
  <si>
    <t>26.9556 ∠ -90.00°</t>
  </si>
  <si>
    <t>0.0000 ∠ 0.00°</t>
  </si>
  <si>
    <t>8.9852 ∠ -90.00°</t>
  </si>
  <si>
    <t>57.7860 ∠ 90.00°</t>
  </si>
  <si>
    <t>37.7640 ∠ 130.08°</t>
  </si>
  <si>
    <t>37.7640 ∠ 49.92°</t>
  </si>
  <si>
    <t>19.2620 ∠ 90.00°</t>
  </si>
  <si>
    <t>23.6704 ∠ -90.00°</t>
  </si>
  <si>
    <t>4.4084 ∠ 90.00°</t>
  </si>
  <si>
    <t>Tensões nos Barramentos (kA)</t>
  </si>
  <si>
    <t>Barra</t>
  </si>
  <si>
    <t>6.4245 ∠ 42.38°</t>
  </si>
  <si>
    <t>8.6603 ∠ -90.00°</t>
  </si>
  <si>
    <t>6.4245 ∠ 137.62°</t>
  </si>
  <si>
    <t>7.0702 ∠ 30.00°</t>
  </si>
  <si>
    <t>1.5901 ∠ 150.00°</t>
  </si>
  <si>
    <t>51.2006 ∠ 0.00°</t>
  </si>
  <si>
    <t>206.0987 ∠ -123.18°</t>
  </si>
  <si>
    <t>206.0987 ∠ 123.18°</t>
  </si>
  <si>
    <t>58.1231 ∠ 180.00°</t>
  </si>
  <si>
    <t>154.2547 ∠ 0.00°</t>
  </si>
  <si>
    <t>44.9311 ∠ 180.00°</t>
  </si>
  <si>
    <t>14.6287 ∠ 0.00°</t>
  </si>
  <si>
    <t>196.6884 ∠ -118.71°</t>
  </si>
  <si>
    <t>196.6884 ∠ 118.71°</t>
  </si>
  <si>
    <t>135.9688 ∠ 0.00°</t>
  </si>
  <si>
    <t>63.2170 ∠ 180.00°</t>
  </si>
  <si>
    <t>8.4035 ∠ -116.81°</t>
  </si>
  <si>
    <t>8.4035 ∠ 116.81°</t>
  </si>
  <si>
    <t>2.5271 ∠ 180.00°</t>
  </si>
  <si>
    <t>5.5937 ∠ 0.00°</t>
  </si>
  <si>
    <t>3.0666 ∠ 180.00°</t>
  </si>
  <si>
    <t>4.0790 ∠ 0.00°</t>
  </si>
  <si>
    <t>1.3597 ∠ 0.00°</t>
  </si>
  <si>
    <t>67.3958 ∠ -8.92°</t>
  </si>
  <si>
    <t>67.3958 ∠ -171.08°</t>
  </si>
  <si>
    <t>20.8982 ∠ 90.00°</t>
  </si>
  <si>
    <t>48.8895 ∠ -30.00°</t>
  </si>
  <si>
    <t>27.9914 ∠ 30.00°</t>
  </si>
  <si>
    <t>99.4808 ∠ -19.56°</t>
  </si>
  <si>
    <t>99.4808 ∠ -160.44°</t>
  </si>
  <si>
    <t>66.6130 ∠ 90.00°</t>
  </si>
  <si>
    <t>87.4271 ∠ -30.00°</t>
  </si>
  <si>
    <t>20.8141 ∠ 30.00°</t>
  </si>
  <si>
    <t>4.9082 ∠ -22.09°</t>
  </si>
  <si>
    <t>4.9082 ∠ -157.91°</t>
  </si>
  <si>
    <t>3.6913 ∠ 90.00°</t>
  </si>
  <si>
    <t>4.4714 ∠ -30.00°</t>
  </si>
  <si>
    <t>0.7801 ∠ 30.00°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</si>
</sst>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5"/>
      <color theme="1"/>
      <name val="Aptos Narrow"/>
      <family val="2"/>
      <scheme val="minor"/>
    </font>
    <font>
      <b/>
      <sz val="12"/>
      <color rgb="FF8ED973"/>
      <name val="Aptos Narrow"/>
      <family val="2"/>
      <scheme val="minor"/>
    </font>
    <font>
      <b/>
      <sz val="12"/>
      <color rgb="FFA6C8EC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/>
    <xf numFmtId="166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7" fillId="4" borderId="0" xfId="0" applyFont="1" applyFill="1" applyAlignment="1">
      <alignment horizontal="center"/>
    </xf>
  </cellXfs>
  <cellStyles count="1">
    <cellStyle name="Normal" xfId="0" builtinId="0"/>
  </cellStyles>
  <dxfs count="10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3" insertRowShift="1" totalsRowShown="0" headerRowDxfId="103" dataDxfId="102">
  <autoFilter ref="A1:I3" xr:uid="{193FD222-520A-4DD8-BE18-987EE612A9D0}"/>
  <tableColumns count="9">
    <tableColumn id="3" xr3:uid="{CA127CF5-E49A-4A9B-B187-4761AA1A79D7}" name="Tipo de Curto Circuito" dataDxfId="101"/>
    <tableColumn id="4" xr3:uid="{88F28AA7-C36A-4434-AD6B-50BE92E74F4D}" name="Barra de Ocorrência" dataDxfId="100"/>
    <tableColumn id="1" xr3:uid="{F4241A51-9F4A-4C52-8A84-2A790858DBF2}" name="Resistência de Falta (Ω)" dataDxfId="99"/>
    <tableColumn id="5" xr3:uid="{27F9348A-202C-4C0A-A004-3C442352EC0A}" name="Reatância de Falta (Ω)" dataDxfId="98"/>
    <tableColumn id="7" xr3:uid="{4EDE8271-7299-42E4-8C91-5F8E909EDF0D}" name="Módulo Tensão Pré-Falta (pu)" dataDxfId="97"/>
    <tableColumn id="8" xr3:uid="{F28A6798-519F-471F-90C9-C4B09058FAAC}" name="Ângulo Tensão Pré-Falta (graus)" dataDxfId="96"/>
    <tableColumn id="6" xr3:uid="{1BF22A3B-7D9D-4AC4-95DB-628DCE968BE5}" name="Resistência de Falta (pu)" dataDxfId="95">
      <calculatedColumnFormula>Configurações[[#This Row],[Resistência de Falta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Reatância de Falta (pu)" dataDxfId="94">
      <calculatedColumnFormula>Configurações[[#This Row],[Reatância de Falta (Ω)]] /
(
POWER(
_xlfn.XLOOKUP(Configurações[[#This Row],[Barra de Ocorrência]],Barramentos[Número],Barramentos[Tensão (kV)],"-",0),
2
)
/Potencia_Base
)</calculatedColumnFormula>
    </tableColumn>
    <tableColumn id="9" xr3:uid="{1AB1BCD0-DB2C-4DFA-AECC-9FE4FB916AB2}" name="Status" dataDxfId="93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5" totalsRowShown="0" dataDxfId="92">
  <autoFilter ref="A1:D5" xr:uid="{185A231E-D573-421A-8DE0-86DC8EC5B091}"/>
  <tableColumns count="4">
    <tableColumn id="1" xr3:uid="{8EBD12C1-4E78-43A6-AE95-30F1337B03D1}" name="Nome" dataDxfId="91"/>
    <tableColumn id="2" xr3:uid="{CFD29857-E1CA-4766-A849-933A0A451513}" name="Número" dataDxfId="90"/>
    <tableColumn id="3" xr3:uid="{B100B757-52E1-499F-9BC6-78F92CB8E714}" name="Tensão (kV)" dataDxfId="89"/>
    <tableColumn id="4" xr3:uid="{45DAEBD0-AEA5-404D-83FA-86673FA4DA4E}" name="Status" dataDxfId="88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3" totalsRowShown="0" dataDxfId="87">
  <autoFilter ref="A1:Y3" xr:uid="{A4AC50ED-6DE4-4C38-93EE-BDF3497EA246}"/>
  <tableColumns count="25">
    <tableColumn id="1" xr3:uid="{39101201-31D4-4805-BA09-578CF4254661}" name="Nome" dataDxfId="86"/>
    <tableColumn id="2" xr3:uid="{82F12B74-9B8E-4129-9D60-29194591E977}" name="Potência Nominal (MVA)" dataDxfId="85"/>
    <tableColumn id="3" xr3:uid="{3676778F-0DD3-4FF1-ABF3-91F631C97AB9}" name="Barra de" dataDxfId="84"/>
    <tableColumn id="4" xr3:uid="{85CA93BC-10AF-4454-9E5C-AB0AA858497E}" name="Tensão Primário (kV)" dataDxfId="83"/>
    <tableColumn id="5" xr3:uid="{F6BF0648-8461-4D3C-BAF8-B44FF50EBC42}" name="Barra para" dataDxfId="82"/>
    <tableColumn id="6" xr3:uid="{788BEFB8-3595-4644-A922-A3C31BA8827C}" name="Tensão Secundário (kV)" dataDxfId="81"/>
    <tableColumn id="17" xr3:uid="{643462F2-B827-4D92-BB8D-B63F2A8B46DE}" name="R1 (%)" dataDxfId="80"/>
    <tableColumn id="18" xr3:uid="{978EA81F-1DF1-4135-9DED-967EDBEF3113}" name="R0 (%)" dataDxfId="79"/>
    <tableColumn id="19" xr3:uid="{7114C9F7-2A77-4742-998E-9665ED40D853}" name="RN P (%)" dataDxfId="78"/>
    <tableColumn id="20" xr3:uid="{E2838565-8CDC-4D7D-9D23-62F5CCD93DBC}" name="RN S (%)" dataDxfId="77"/>
    <tableColumn id="7" xr3:uid="{B0A73F71-8999-46E8-8E3D-7A74ED6AD1DE}" name="X1 (%)" dataDxfId="76"/>
    <tableColumn id="8" xr3:uid="{683A169E-13B2-47A8-905B-31A9A7946BFF}" name="X0 (%)" dataDxfId="75"/>
    <tableColumn id="9" xr3:uid="{0CED62B1-AB9E-472F-B905-855FCDDA5621}" name="XN P (%)" dataDxfId="74"/>
    <tableColumn id="10" xr3:uid="{5A25097B-1431-4425-93D5-7DA14A630D4D}" name="XN S (%)" dataDxfId="73"/>
    <tableColumn id="11" xr3:uid="{17BC764E-AC0C-41D2-A895-E25CF32BD66D}" name="Tipo de Conexão" dataDxfId="72"/>
    <tableColumn id="16" xr3:uid="{C26B22AC-395A-4831-B51C-EDF601536FBA}" name="Defasagem (°)" dataDxfId="71"/>
    <tableColumn id="21" xr3:uid="{E121F7A3-274E-4A17-BA4E-674BD1AB4224}" name="R1 (pu) Base" dataDxfId="70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69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68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67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66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65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64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63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62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61">
  <autoFilter ref="A1:N2" xr:uid="{4C6B18B1-E121-4D7E-AA00-B30E64F151BF}"/>
  <tableColumns count="14">
    <tableColumn id="1" xr3:uid="{30120507-59B7-4E39-9736-DD004A4CF5CB}" name="Nome" dataDxfId="60"/>
    <tableColumn id="2" xr3:uid="{AB8230B4-9A4A-44EF-BB87-C4CACBD18C5F}" name="Barra de" dataDxfId="59"/>
    <tableColumn id="3" xr3:uid="{B4EB3D4B-781C-4650-BEEA-30E6D7A81A35}" name="Barra para" dataDxfId="58"/>
    <tableColumn id="4" xr3:uid="{330EF97A-C5A9-4C11-9A8E-CE8C64A31B98}" name="Tensão (kV)" dataDxfId="57"/>
    <tableColumn id="5" xr3:uid="{E8D819A1-6394-472E-9E16-3B2EA093E29D}" name="Potência Nominal (MVA)" dataDxfId="56"/>
    <tableColumn id="6" xr3:uid="{F11529B5-BE00-42BC-890E-64E0E6AFF6F1}" name="R1 (%)" dataDxfId="55"/>
    <tableColumn id="7" xr3:uid="{CFED6F8E-5D17-4662-ACC5-C3E2ABE880FB}" name="R0 (%)" dataDxfId="54"/>
    <tableColumn id="8" xr3:uid="{7430D406-FE3E-4B08-BB6D-3A8D932E918D}" name="X1 (%)" dataDxfId="53"/>
    <tableColumn id="9" xr3:uid="{94284ABF-4FFF-4BE1-B200-614B09A8B34C}" name="X0 (%)" dataDxfId="52"/>
    <tableColumn id="10" xr3:uid="{C5D7E913-E161-4147-8CA6-551A69411E75}" name="R1 (pu) Base" dataDxfId="51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50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49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48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4" xr3:uid="{D9FAADF6-F52F-4673-BF77-01DD1C973274}" name="Status" dataDxfId="47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3" totalsRowShown="0" dataDxfId="46">
  <autoFilter ref="A1:S3" xr:uid="{B599559C-32F1-4236-AECA-7D9877860AA5}"/>
  <tableColumns count="19">
    <tableColumn id="1" xr3:uid="{37D2B7CF-5760-4FE5-B9E3-B0DCD2A26D81}" name="Nome" dataDxfId="45"/>
    <tableColumn id="2" xr3:uid="{DDB0FCF3-D10E-454C-83FE-382C8D19A917}" name="Tipo de Máquina" dataDxfId="44"/>
    <tableColumn id="3" xr3:uid="{41B724F9-FA51-4405-81DF-58B3AE9B4DBC}" name="Barra Conectada" dataDxfId="43"/>
    <tableColumn id="4" xr3:uid="{6B3CE436-99E4-492E-85DA-15FB0B060EDA}" name="Potência Nominal (MVA)" dataDxfId="42"/>
    <tableColumn id="5" xr3:uid="{E5D2863F-65FE-4C5B-A9EB-346763EA179D}" name="Tensão (kV)" dataDxfId="41"/>
    <tableColumn id="6" xr3:uid="{68B25089-7F4B-4E85-8AAE-DE5FA47E5B93}" name="R1 (%)" dataDxfId="40"/>
    <tableColumn id="7" xr3:uid="{D4859BAA-B7F8-4C05-B645-D585A105F903}" name="R0 (%)" dataDxfId="39"/>
    <tableColumn id="17" xr3:uid="{409E9AB5-8B08-48E6-A7A0-793C14053FCE}" name="RN (%)" dataDxfId="38"/>
    <tableColumn id="8" xr3:uid="{BBBE4417-080E-4E8B-BC6C-05E4524DE3F5}" name="X1 (%)" dataDxfId="37"/>
    <tableColumn id="9" xr3:uid="{05140983-8FCC-4839-B46F-8E7004364620}" name="X0 (%)" dataDxfId="36"/>
    <tableColumn id="10" xr3:uid="{BF9AB535-205A-4F79-84D5-5550453715EF}" name="XN (%)" dataDxfId="35"/>
    <tableColumn id="11" xr3:uid="{3102012A-28C3-429F-ABCF-987A3E858B48}" name="Tipo de Conexão" dataDxfId="34"/>
    <tableColumn id="12" xr3:uid="{E1B4EC4F-7076-41FF-BCB0-E7F6CF0E98EF}" name="R1 (pu) Base" dataDxfId="33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32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31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30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29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28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8" xr3:uid="{9783863A-A941-4806-A16C-320774174B82}" name="Status" dataDxfId="27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26">
  <autoFilter ref="A1:H2" xr:uid="{A5F92FF0-A218-472D-B9E3-FC6DA3123327}"/>
  <tableColumns count="8">
    <tableColumn id="1" xr3:uid="{910FA3BB-C4BB-4AC3-AF9E-D80012ED1C16}" name="Nome" dataDxfId="25"/>
    <tableColumn id="2" xr3:uid="{F4DC6F70-034F-4E4F-BC64-1BAA423C9AB6}" name="Barra Conectada" dataDxfId="24"/>
    <tableColumn id="4" xr3:uid="{4208AB9B-5640-49E2-9518-C539EBBA5291}" name="Potência Ativa (MW)" dataDxfId="23"/>
    <tableColumn id="5" xr3:uid="{471FEBBB-894E-44C5-8AF7-578155197899}" name="Potência Reativa (MVAr)" dataDxfId="22"/>
    <tableColumn id="6" xr3:uid="{3161E565-B978-4834-B215-F8B8B19F1373}" name="Tipo de Conexão" dataDxfId="21"/>
    <tableColumn id="7" xr3:uid="{0BD04F28-6FD5-49ED-863C-5834525FEF1B}" name="R1 (pu) Base" dataDxfId="20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9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18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M1" sqref="M1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105</v>
      </c>
    </row>
    <row r="3" spans="1:1" x14ac:dyDescent="0.25">
      <c r="A3" t="s">
        <v>63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G16"/>
  <sheetViews>
    <sheetView workbookViewId="0">
      <selection activeCell="F8" sqref="F8"/>
    </sheetView>
  </sheetViews>
  <sheetFormatPr defaultRowHeight="15" x14ac:dyDescent="0.25"/>
  <sheetData>
    <row r="1" spans="1:7" s="9" customFormat="1" x14ac:dyDescent="0.25">
      <c r="A1" s="9" t="s">
        <v>41</v>
      </c>
      <c r="B1" s="9" t="s">
        <v>40</v>
      </c>
    </row>
    <row r="2" spans="1:7" s="9" customFormat="1" x14ac:dyDescent="0.25">
      <c r="A2" s="9" t="s">
        <v>42</v>
      </c>
      <c r="B2" s="9" t="s">
        <v>43</v>
      </c>
    </row>
    <row r="3" spans="1:7" s="9" customFormat="1" x14ac:dyDescent="0.25">
      <c r="A3" s="9" t="s">
        <v>44</v>
      </c>
      <c r="B3" s="9" t="s">
        <v>45</v>
      </c>
    </row>
    <row r="4" spans="1:7" x14ac:dyDescent="0.25">
      <c r="A4" t="s">
        <v>46</v>
      </c>
      <c r="B4" t="s">
        <v>47</v>
      </c>
    </row>
    <row r="5" spans="1:7" s="9" customFormat="1" x14ac:dyDescent="0.25">
      <c r="A5" s="9" t="s">
        <v>48</v>
      </c>
      <c r="B5" s="9" t="s">
        <v>49</v>
      </c>
    </row>
    <row r="6" spans="1:7" s="9" customFormat="1" x14ac:dyDescent="0.25">
      <c r="A6" s="9" t="s">
        <v>50</v>
      </c>
      <c r="B6" s="9" t="s">
        <v>51</v>
      </c>
    </row>
    <row r="7" spans="1:7" x14ac:dyDescent="0.25">
      <c r="A7" t="s">
        <v>52</v>
      </c>
      <c r="B7" t="s">
        <v>100</v>
      </c>
    </row>
    <row r="8" spans="1:7" x14ac:dyDescent="0.25">
      <c r="A8" t="s">
        <v>53</v>
      </c>
      <c r="B8" t="s">
        <v>54</v>
      </c>
    </row>
    <row r="9" spans="1:7" x14ac:dyDescent="0.25">
      <c r="A9" t="s">
        <v>55</v>
      </c>
      <c r="B9" t="s">
        <v>56</v>
      </c>
      <c r="G9" t="s">
        <v>92</v>
      </c>
    </row>
    <row r="10" spans="1:7" x14ac:dyDescent="0.25">
      <c r="A10" t="s">
        <v>57</v>
      </c>
      <c r="B10" t="s">
        <v>58</v>
      </c>
    </row>
    <row r="11" spans="1:7" s="9" customFormat="1" x14ac:dyDescent="0.25">
      <c r="A11" s="9" t="s">
        <v>114</v>
      </c>
      <c r="B11" s="9" t="s">
        <v>115</v>
      </c>
    </row>
    <row r="12" spans="1:7" s="9" customFormat="1" x14ac:dyDescent="0.25">
      <c r="A12" s="9" t="s">
        <v>117</v>
      </c>
      <c r="B12" s="9" t="s">
        <v>118</v>
      </c>
    </row>
    <row r="13" spans="1:7" s="9" customFormat="1" x14ac:dyDescent="0.25">
      <c r="A13" s="9" t="s">
        <v>61</v>
      </c>
      <c r="B13" s="9" t="s">
        <v>62</v>
      </c>
    </row>
    <row r="14" spans="1:7" x14ac:dyDescent="0.25">
      <c r="A14" t="s">
        <v>87</v>
      </c>
      <c r="B14" t="s">
        <v>104</v>
      </c>
    </row>
    <row r="15" spans="1:7" x14ac:dyDescent="0.25">
      <c r="A15" t="s">
        <v>102</v>
      </c>
      <c r="B15" t="s">
        <v>103</v>
      </c>
    </row>
    <row r="16" spans="1:7" s="9" customFormat="1" x14ac:dyDescent="0.25">
      <c r="A16" s="9" t="s">
        <v>112</v>
      </c>
      <c r="B16" s="9" t="s">
        <v>113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3"/>
  <sheetViews>
    <sheetView zoomScaleNormal="100" workbookViewId="0">
      <selection activeCell="E14" sqref="E14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5.42578125" style="1" customWidth="1"/>
    <col min="4" max="4" width="21.28515625" style="1" customWidth="1"/>
    <col min="5" max="5" width="32.28515625" style="1" bestFit="1" customWidth="1"/>
    <col min="6" max="6" width="33.85546875" style="1" customWidth="1"/>
    <col min="7" max="7" width="29.7109375" style="1" customWidth="1"/>
    <col min="8" max="8" width="29.28515625" customWidth="1"/>
    <col min="9" max="9" width="23.28515625" bestFit="1" customWidth="1"/>
  </cols>
  <sheetData>
    <row r="1" spans="1:9" x14ac:dyDescent="0.25">
      <c r="A1" s="1" t="s">
        <v>27</v>
      </c>
      <c r="B1" s="1" t="s">
        <v>28</v>
      </c>
      <c r="C1" s="1" t="s">
        <v>88</v>
      </c>
      <c r="D1" s="1" t="s">
        <v>89</v>
      </c>
      <c r="E1" s="1" t="s">
        <v>110</v>
      </c>
      <c r="F1" s="1" t="s">
        <v>111</v>
      </c>
      <c r="G1" s="11" t="s">
        <v>91</v>
      </c>
      <c r="H1" s="11" t="s">
        <v>90</v>
      </c>
      <c r="I1" s="11" t="s">
        <v>116</v>
      </c>
    </row>
    <row r="2" spans="1:9" x14ac:dyDescent="0.25">
      <c r="A2" s="1" t="s">
        <v>64</v>
      </c>
      <c r="B2" s="8">
        <v>4</v>
      </c>
      <c r="C2" s="1">
        <v>0</v>
      </c>
      <c r="D2" s="1">
        <v>0</v>
      </c>
      <c r="E2" s="10">
        <v>1</v>
      </c>
      <c r="F2" s="10">
        <v>0</v>
      </c>
      <c r="G2" s="2">
        <f>Configurações[[#This Row],[Resistência de Falta (Ω)]] /
(
POWER(
_xlfn.XLOOKUP(Configurações[[#This Row],[Barra de Ocorrência]],Barramentos[Número],Barramentos[Tensão (kV)],"-",0),
2
)
/Potencia_Base
)</f>
        <v>0</v>
      </c>
      <c r="H2" s="2">
        <f>Configurações[[#This Row],[Reatância de Falta (Ω)]] /
(
POWER(
_xlfn.XLOOKUP(Configurações[[#This Row],[Barra de Ocorrência]],Barramentos[Número],Barramentos[Tensão (kV)],"-",0),
2
)
/Potencia_Base
)</f>
        <v>0</v>
      </c>
      <c r="I2" s="1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  <row r="3" spans="1:9" x14ac:dyDescent="0.25">
      <c r="A3" s="1" t="s">
        <v>101</v>
      </c>
      <c r="B3" s="8">
        <v>1</v>
      </c>
      <c r="C3" s="1">
        <v>0</v>
      </c>
      <c r="D3" s="1">
        <v>0</v>
      </c>
      <c r="E3" s="10">
        <v>1</v>
      </c>
      <c r="F3" s="10">
        <v>0</v>
      </c>
      <c r="G3" s="2">
        <f>Configurações[[#This Row],[Resistência de Falta (Ω)]] /
(
POWER(
_xlfn.XLOOKUP(Configurações[[#This Row],[Barra de Ocorrência]],Barramentos[Número],Barramentos[Tensão (kV)],"-",0),
2
)
/Potencia_Base
)</f>
        <v>0</v>
      </c>
      <c r="H3" s="2">
        <f>Configurações[[#This Row],[Reatância de Falta (Ω)]] /
(
POWER(
_xlfn.XLOOKUP(Configurações[[#This Row],[Barra de Ocorrência]],Barramentos[Número],Barramentos[Tensão (kV)],"-",0),
2
)
/Potencia_Base
)</f>
        <v>0</v>
      </c>
      <c r="I3" s="1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</sheetData>
  <conditionalFormatting sqref="I2:I3">
    <cfRule type="cellIs" dxfId="17" priority="1" operator="equal">
      <formula>"Ok"</formula>
    </cfRule>
    <cfRule type="cellIs" dxfId="16" priority="2" operator="equal">
      <formula>"Verificar!"</formula>
    </cfRule>
  </conditionalFormatting>
  <dataValidations count="4">
    <dataValidation type="list" showInputMessage="1" showErrorMessage="1" sqref="B2:B3" xr:uid="{D7AD2082-6D50-4A04-911E-F1BE7F72159B}">
      <formula1>INDIRECT("Barramentos[Número]")</formula1>
    </dataValidation>
    <dataValidation type="list" showInputMessage="1" showErrorMessage="1" sqref="A2:A3" xr:uid="{354A04D4-4D14-45AD-80EE-372509A058E0}">
      <formula1>"Trifásico,Monofásico,Bifásico-Terra,Bifásico"</formula1>
    </dataValidation>
    <dataValidation type="decimal" operator="greaterThanOrEqual" showInputMessage="1" showErrorMessage="1" sqref="C2:C3" xr:uid="{E966FC70-F503-4F5B-A599-19E24597B9B5}">
      <formula1>0</formula1>
    </dataValidation>
    <dataValidation type="decimal" operator="greaterThanOrEqual" allowBlank="1" showInputMessage="1" showErrorMessage="1" sqref="D2:F3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5"/>
  <sheetViews>
    <sheetView workbookViewId="0">
      <selection activeCell="D3" sqref="D3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12" t="s">
        <v>116</v>
      </c>
    </row>
    <row r="2" spans="1:4" s="1" customFormat="1" x14ac:dyDescent="0.25">
      <c r="A2" s="1" t="s">
        <v>26</v>
      </c>
      <c r="B2" s="8">
        <v>1</v>
      </c>
      <c r="C2" s="3">
        <v>15</v>
      </c>
      <c r="D2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3" spans="1:4" x14ac:dyDescent="0.25">
      <c r="A3" s="1" t="s">
        <v>25</v>
      </c>
      <c r="B3" s="8">
        <v>2</v>
      </c>
      <c r="C3" s="3">
        <v>345</v>
      </c>
      <c r="D3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4" spans="1:4" x14ac:dyDescent="0.25">
      <c r="A4" s="1" t="s">
        <v>29</v>
      </c>
      <c r="B4" s="8">
        <v>3</v>
      </c>
      <c r="C4" s="3">
        <v>345</v>
      </c>
      <c r="D4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5" spans="1:4" x14ac:dyDescent="0.25">
      <c r="A5" s="1" t="s">
        <v>30</v>
      </c>
      <c r="B5" s="8">
        <v>4</v>
      </c>
      <c r="C5" s="3">
        <v>15</v>
      </c>
      <c r="D5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</sheetData>
  <conditionalFormatting sqref="A2:B5">
    <cfRule type="duplicateValues" dxfId="15" priority="12"/>
  </conditionalFormatting>
  <conditionalFormatting sqref="D2:D5">
    <cfRule type="cellIs" dxfId="14" priority="1" operator="equal">
      <formula>"Verificar!"</formula>
    </cfRule>
    <cfRule type="cellIs" dxfId="13" priority="2" operator="equal">
      <formula>"Ok"</formula>
    </cfRule>
  </conditionalFormatting>
  <dataValidations disablePrompts="1"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3"/>
  <sheetViews>
    <sheetView showGridLines="0" zoomScaleNormal="100" workbookViewId="0">
      <selection activeCell="Y3" sqref="Y3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106</v>
      </c>
      <c r="J1" t="s">
        <v>107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93</v>
      </c>
      <c r="Q1" s="12" t="s">
        <v>10</v>
      </c>
      <c r="R1" s="12" t="s">
        <v>11</v>
      </c>
      <c r="S1" s="12" t="s">
        <v>108</v>
      </c>
      <c r="T1" s="12" t="s">
        <v>109</v>
      </c>
      <c r="U1" s="12" t="s">
        <v>12</v>
      </c>
      <c r="V1" s="12" t="s">
        <v>13</v>
      </c>
      <c r="W1" s="12" t="s">
        <v>19</v>
      </c>
      <c r="X1" s="12" t="s">
        <v>20</v>
      </c>
      <c r="Y1" s="12" t="s">
        <v>116</v>
      </c>
    </row>
    <row r="2" spans="1:25" s="1" customFormat="1" x14ac:dyDescent="0.25">
      <c r="A2" s="1" t="s">
        <v>38</v>
      </c>
      <c r="B2" s="1">
        <v>175</v>
      </c>
      <c r="C2" s="8">
        <v>1</v>
      </c>
      <c r="D2" s="1">
        <v>15</v>
      </c>
      <c r="E2" s="8">
        <v>2</v>
      </c>
      <c r="F2" s="1">
        <v>345</v>
      </c>
      <c r="G2" s="4">
        <v>0</v>
      </c>
      <c r="H2" s="4">
        <v>0</v>
      </c>
      <c r="I2" s="4">
        <v>0</v>
      </c>
      <c r="J2" s="4">
        <v>0</v>
      </c>
      <c r="K2" s="1">
        <v>8</v>
      </c>
      <c r="L2" s="1">
        <v>8</v>
      </c>
      <c r="M2" s="1">
        <v>0</v>
      </c>
      <c r="N2" s="1">
        <v>0</v>
      </c>
      <c r="O2" s="1" t="s">
        <v>94</v>
      </c>
      <c r="P2" s="1">
        <v>-30</v>
      </c>
      <c r="Q2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2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2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2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V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W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  <row r="3" spans="1:25" x14ac:dyDescent="0.25">
      <c r="A3" s="1" t="s">
        <v>39</v>
      </c>
      <c r="B3" s="1">
        <v>175</v>
      </c>
      <c r="C3" s="8">
        <v>3</v>
      </c>
      <c r="D3" s="1">
        <v>345</v>
      </c>
      <c r="E3" s="8">
        <v>4</v>
      </c>
      <c r="F3" s="1">
        <v>15</v>
      </c>
      <c r="G3" s="4">
        <v>0</v>
      </c>
      <c r="H3" s="4">
        <v>0</v>
      </c>
      <c r="I3" s="4">
        <v>0</v>
      </c>
      <c r="J3" s="4">
        <v>0</v>
      </c>
      <c r="K3" s="1">
        <v>7</v>
      </c>
      <c r="L3" s="1">
        <v>7</v>
      </c>
      <c r="M3" s="1">
        <v>0</v>
      </c>
      <c r="N3" s="1">
        <v>0</v>
      </c>
      <c r="O3" s="1" t="s">
        <v>85</v>
      </c>
      <c r="P3" s="1">
        <v>0</v>
      </c>
      <c r="Q3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3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3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3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V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W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3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</sheetData>
  <sheetProtection formatCells="0"/>
  <conditionalFormatting sqref="A2:A3">
    <cfRule type="duplicateValues" dxfId="12" priority="18"/>
  </conditionalFormatting>
  <conditionalFormatting sqref="Y2:Y3">
    <cfRule type="cellIs" dxfId="11" priority="1" operator="equal">
      <formula>"Verificar!"</formula>
    </cfRule>
    <cfRule type="cellIs" dxfId="10" priority="2" operator="equal">
      <formula>"Ok"</formula>
    </cfRule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N3" xr:uid="{A4B660CB-078C-4003-9D0E-7C3B167AC11D}">
      <formula1>0</formula1>
    </dataValidation>
    <dataValidation type="list" allowBlank="1" showInputMessage="1" showErrorMessage="1" sqref="O2:O3" xr:uid="{F80BEEB6-9C5B-461C-A2CE-1083D85F28FD}">
      <formula1>"Y-Y,Yt-Y,Y-Yt,Yt-Yt,Y-D,D-Y,Yt-D,D-Yt,D-D"</formula1>
    </dataValidation>
    <dataValidation type="decimal" allowBlank="1" showInputMessage="1" showErrorMessage="1" sqref="P2:T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selection activeCell="K20" sqref="K20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12" t="s">
        <v>10</v>
      </c>
      <c r="K1" s="12" t="s">
        <v>11</v>
      </c>
      <c r="L1" s="12" t="s">
        <v>12</v>
      </c>
      <c r="M1" s="12" t="s">
        <v>13</v>
      </c>
      <c r="N1" s="12" t="s">
        <v>116</v>
      </c>
    </row>
    <row r="2" spans="1:14" s="1" customFormat="1" x14ac:dyDescent="0.25">
      <c r="A2" s="1" t="s">
        <v>35</v>
      </c>
      <c r="B2" s="8">
        <v>2</v>
      </c>
      <c r="C2" s="8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  <c r="N2" s="2" t="str">
        <f>IF(COUNTBLANK(Linhas[[#This Row],[Nome]:[X0 (pu) Base]])=COLUMNS(Linhas[[#This Row],[Nome]:[X0 (pu) Base]]),"",IF(COUNTBLANK(Linhas[[#This Row],[Nome]:[X0 (pu) Base]])&gt;0,"Verificar!","Ok"))</f>
        <v>Ok</v>
      </c>
    </row>
  </sheetData>
  <conditionalFormatting sqref="A2">
    <cfRule type="duplicateValues" dxfId="9" priority="19"/>
  </conditionalFormatting>
  <conditionalFormatting sqref="N2">
    <cfRule type="cellIs" dxfId="8" priority="1" operator="equal">
      <formula>"Verificar!"</formula>
    </cfRule>
    <cfRule type="cellIs" dxfId="7" priority="2" operator="equal">
      <formula>"Ok"</formula>
    </cfRule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3"/>
  <sheetViews>
    <sheetView showGridLines="0" workbookViewId="0">
      <selection activeCell="S2" sqref="S2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59</v>
      </c>
      <c r="I1" t="s">
        <v>8</v>
      </c>
      <c r="J1" t="s">
        <v>9</v>
      </c>
      <c r="K1" t="s">
        <v>23</v>
      </c>
      <c r="L1" t="s">
        <v>18</v>
      </c>
      <c r="M1" s="12" t="s">
        <v>10</v>
      </c>
      <c r="N1" s="12" t="s">
        <v>11</v>
      </c>
      <c r="O1" s="12" t="s">
        <v>60</v>
      </c>
      <c r="P1" s="12" t="s">
        <v>12</v>
      </c>
      <c r="Q1" s="12" t="s">
        <v>13</v>
      </c>
      <c r="R1" s="12" t="s">
        <v>24</v>
      </c>
      <c r="S1" s="12" t="s">
        <v>116</v>
      </c>
    </row>
    <row r="2" spans="1:19" s="1" customFormat="1" x14ac:dyDescent="0.25">
      <c r="A2" s="1" t="s">
        <v>31</v>
      </c>
      <c r="B2" s="1" t="s">
        <v>32</v>
      </c>
      <c r="C2" s="8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36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S2" s="2" t="str">
        <f>IF(COUNTBLANK(Máquinas[[#This Row],[Nome]:[XN (pu) Base]])=COLUMNS(Máquinas[[#This Row],[Nome]:[XN (pu) Base]]),"",IF(COUNTBLANK(Máquinas[[#This Row],[Nome]:[XN (pu) Base]])&gt;0,"Verificar!","Ok"))</f>
        <v>Ok</v>
      </c>
    </row>
    <row r="3" spans="1:19" x14ac:dyDescent="0.25">
      <c r="A3" s="1" t="s">
        <v>37</v>
      </c>
      <c r="B3" s="1" t="s">
        <v>32</v>
      </c>
      <c r="C3" s="8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36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S3" s="2" t="str">
        <f>IF(COUNTBLANK(Máquinas[[#This Row],[Nome]:[XN (pu) Base]])=COLUMNS(Máquinas[[#This Row],[Nome]:[XN (pu) Base]]),"",IF(COUNTBLANK(Máquinas[[#This Row],[Nome]:[XN (pu) Base]])&gt;0,"Verificar!","Ok"))</f>
        <v>Ok</v>
      </c>
    </row>
  </sheetData>
  <conditionalFormatting sqref="A2:A3">
    <cfRule type="duplicateValues" dxfId="6" priority="13"/>
    <cfRule type="duplicateValues" dxfId="5" priority="14"/>
  </conditionalFormatting>
  <conditionalFormatting sqref="S2:S3">
    <cfRule type="cellIs" dxfId="4" priority="1" operator="equal">
      <formula>"Ok"</formula>
    </cfRule>
    <cfRule type="cellIs" dxfId="3" priority="2" operator="equal">
      <formula>"Verificar!"</formula>
    </cfRule>
  </conditionalFormatting>
  <dataValidations disablePrompts="1"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workbookViewId="0">
      <selection activeCell="H2" sqref="H2"/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33</v>
      </c>
      <c r="D1" t="s">
        <v>34</v>
      </c>
      <c r="E1" t="s">
        <v>18</v>
      </c>
      <c r="F1" s="12" t="s">
        <v>10</v>
      </c>
      <c r="G1" s="12" t="s">
        <v>12</v>
      </c>
      <c r="H1" s="12" t="s">
        <v>116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2" priority="17"/>
  </conditionalFormatting>
  <conditionalFormatting sqref="H2">
    <cfRule type="cellIs" dxfId="1" priority="1" operator="equal">
      <formula>"Ok"</formula>
    </cfRule>
    <cfRule type="cellIs" dxfId="0" priority="2" operator="equal">
      <formula>"Verificar!"</formula>
    </cfRule>
  </conditionalFormatting>
  <dataValidations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workbookViewId="0">
      <selection activeCell="F10" sqref="F10"/>
    </sheetView>
  </sheetViews>
  <sheetFormatPr defaultColWidth="9.28515625" defaultRowHeight="15" x14ac:dyDescent="0.25"/>
  <cols>
    <col min="1" max="1" width="2" bestFit="1" customWidth="1"/>
    <col min="2" max="5" width="14.85546875" bestFit="1" customWidth="1"/>
  </cols>
  <sheetData>
    <row r="1" spans="1:5" x14ac:dyDescent="0.25">
      <c r="A1" s="7"/>
      <c r="B1" s="7">
        <v>1</v>
      </c>
      <c r="C1" s="7">
        <v>2</v>
      </c>
      <c r="D1" s="7">
        <v>3</v>
      </c>
      <c r="E1" s="7">
        <v>4</v>
      </c>
    </row>
    <row r="2" spans="1:5" x14ac:dyDescent="0.25">
      <c r="A2" s="6">
        <v>1</v>
      </c>
      <c r="B2" t="s">
        <v>65</v>
      </c>
      <c r="C2" t="s">
        <v>66</v>
      </c>
      <c r="D2" t="s">
        <v>67</v>
      </c>
      <c r="E2" t="s">
        <v>67</v>
      </c>
    </row>
    <row r="3" spans="1:5" x14ac:dyDescent="0.25">
      <c r="A3" s="6">
        <v>2</v>
      </c>
      <c r="B3" t="s">
        <v>66</v>
      </c>
      <c r="C3" t="s">
        <v>68</v>
      </c>
      <c r="D3" t="s">
        <v>69</v>
      </c>
      <c r="E3" t="s">
        <v>67</v>
      </c>
    </row>
    <row r="4" spans="1:5" x14ac:dyDescent="0.25">
      <c r="A4" s="6">
        <v>3</v>
      </c>
      <c r="B4" t="s">
        <v>67</v>
      </c>
      <c r="C4" t="s">
        <v>69</v>
      </c>
      <c r="D4" t="s">
        <v>70</v>
      </c>
      <c r="E4" t="s">
        <v>71</v>
      </c>
    </row>
    <row r="5" spans="1:5" x14ac:dyDescent="0.25">
      <c r="A5" s="6">
        <v>4</v>
      </c>
      <c r="B5" t="s">
        <v>67</v>
      </c>
      <c r="C5" t="s">
        <v>67</v>
      </c>
      <c r="D5" t="s">
        <v>71</v>
      </c>
      <c r="E5" t="s">
        <v>72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E1" sqref="E1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7"/>
      <c r="B1" s="7">
        <v>1</v>
      </c>
      <c r="C1" s="7">
        <v>2</v>
      </c>
      <c r="D1" s="7">
        <v>3</v>
      </c>
      <c r="E1" s="7">
        <v>4</v>
      </c>
    </row>
    <row r="2" spans="1:5" x14ac:dyDescent="0.25">
      <c r="A2" s="6">
        <v>1</v>
      </c>
      <c r="B2" t="s">
        <v>73</v>
      </c>
      <c r="C2" t="s">
        <v>74</v>
      </c>
      <c r="D2" t="s">
        <v>75</v>
      </c>
      <c r="E2" t="s">
        <v>76</v>
      </c>
    </row>
    <row r="3" spans="1:5" x14ac:dyDescent="0.25">
      <c r="A3" s="6">
        <v>2</v>
      </c>
      <c r="B3" t="s">
        <v>74</v>
      </c>
      <c r="C3" t="s">
        <v>77</v>
      </c>
      <c r="D3" t="s">
        <v>78</v>
      </c>
      <c r="E3" t="s">
        <v>79</v>
      </c>
    </row>
    <row r="4" spans="1:5" x14ac:dyDescent="0.25">
      <c r="A4" s="6">
        <v>3</v>
      </c>
      <c r="B4" t="s">
        <v>75</v>
      </c>
      <c r="C4" t="s">
        <v>78</v>
      </c>
      <c r="D4" t="s">
        <v>80</v>
      </c>
      <c r="E4" t="s">
        <v>81</v>
      </c>
    </row>
    <row r="5" spans="1:5" x14ac:dyDescent="0.25">
      <c r="A5" s="6">
        <v>4</v>
      </c>
      <c r="B5" t="s">
        <v>76</v>
      </c>
      <c r="C5" t="s">
        <v>79</v>
      </c>
      <c r="D5" t="s">
        <v>81</v>
      </c>
      <c r="E5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E17" sqref="E17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13.85546875" bestFit="1" customWidth="1"/>
    <col min="4" max="5" width="14.85546875" bestFit="1" customWidth="1"/>
  </cols>
  <sheetData>
    <row r="1" spans="1:5" x14ac:dyDescent="0.25">
      <c r="A1" s="7"/>
      <c r="B1" s="7">
        <v>1</v>
      </c>
      <c r="C1" s="7">
        <v>2</v>
      </c>
      <c r="D1" s="7">
        <v>3</v>
      </c>
      <c r="E1" s="7">
        <v>4</v>
      </c>
    </row>
    <row r="2" spans="1:5" x14ac:dyDescent="0.25">
      <c r="A2" s="6">
        <v>1</v>
      </c>
      <c r="B2" t="s">
        <v>68</v>
      </c>
      <c r="C2" t="s">
        <v>67</v>
      </c>
      <c r="D2" t="s">
        <v>67</v>
      </c>
      <c r="E2" t="s">
        <v>67</v>
      </c>
    </row>
    <row r="3" spans="1:5" x14ac:dyDescent="0.25">
      <c r="A3" s="6">
        <v>2</v>
      </c>
      <c r="B3" t="s">
        <v>67</v>
      </c>
      <c r="C3" t="s">
        <v>95</v>
      </c>
      <c r="D3" t="s">
        <v>83</v>
      </c>
      <c r="E3" t="s">
        <v>67</v>
      </c>
    </row>
    <row r="4" spans="1:5" x14ac:dyDescent="0.25">
      <c r="A4" s="6">
        <v>3</v>
      </c>
      <c r="B4" t="s">
        <v>67</v>
      </c>
      <c r="C4" t="s">
        <v>83</v>
      </c>
      <c r="D4" t="s">
        <v>86</v>
      </c>
      <c r="E4" t="s">
        <v>71</v>
      </c>
    </row>
    <row r="5" spans="1:5" x14ac:dyDescent="0.25">
      <c r="A5" s="6">
        <v>4</v>
      </c>
      <c r="B5" t="s">
        <v>67</v>
      </c>
      <c r="C5" t="s">
        <v>67</v>
      </c>
      <c r="D5" t="s">
        <v>71</v>
      </c>
      <c r="E5" t="s">
        <v>84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workbookViewId="0">
      <selection activeCell="H12" sqref="H12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7"/>
      <c r="B1" s="7">
        <v>1</v>
      </c>
      <c r="C1" s="7">
        <v>2</v>
      </c>
      <c r="D1" s="7">
        <v>3</v>
      </c>
      <c r="E1" s="7">
        <v>4</v>
      </c>
    </row>
    <row r="2" spans="1:5" x14ac:dyDescent="0.25">
      <c r="A2" s="6">
        <v>1</v>
      </c>
      <c r="B2" t="s">
        <v>96</v>
      </c>
      <c r="C2" t="s">
        <v>67</v>
      </c>
      <c r="D2" t="s">
        <v>67</v>
      </c>
      <c r="E2" t="s">
        <v>67</v>
      </c>
    </row>
    <row r="3" spans="1:5" x14ac:dyDescent="0.25">
      <c r="A3" s="6">
        <v>2</v>
      </c>
      <c r="B3" t="s">
        <v>67</v>
      </c>
      <c r="C3" t="s">
        <v>97</v>
      </c>
      <c r="D3" t="s">
        <v>98</v>
      </c>
      <c r="E3" t="s">
        <v>99</v>
      </c>
    </row>
    <row r="4" spans="1:5" x14ac:dyDescent="0.25">
      <c r="A4" s="6">
        <v>3</v>
      </c>
      <c r="B4" t="s">
        <v>67</v>
      </c>
      <c r="C4" t="s">
        <v>98</v>
      </c>
      <c r="D4" t="s">
        <v>98</v>
      </c>
      <c r="E4" t="s">
        <v>99</v>
      </c>
    </row>
    <row r="5" spans="1:5" x14ac:dyDescent="0.25">
      <c r="A5" s="6">
        <v>4</v>
      </c>
      <c r="B5" t="s">
        <v>67</v>
      </c>
      <c r="C5" t="s">
        <v>99</v>
      </c>
      <c r="D5" t="s">
        <v>99</v>
      </c>
      <c r="E5" t="s">
        <v>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B2:H26"/>
  <sheetViews>
    <sheetView tabSelected="1" workbookViewId="0">
      <selection activeCell="G27" sqref="G27"/>
    </sheetView>
  </sheetViews>
  <sheetFormatPr defaultColWidth="29.42578125" defaultRowHeight="15" x14ac:dyDescent="0.25"/>
  <cols>
    <col min="1" max="1" width="29.42578125" style="1"/>
    <col min="2" max="2" width="29.42578125" style="7"/>
    <col min="3" max="16384" width="29.42578125" style="1"/>
  </cols>
  <sheetData>
    <row r="2" spans="2:8" ht="34.5" x14ac:dyDescent="0.55000000000000004">
      <c r="B2" s="13" t="s">
        <v>105</v>
      </c>
      <c r="C2" s="18"/>
      <c r="D2" s="18"/>
      <c r="E2" s="18"/>
      <c r="F2" s="18"/>
      <c r="G2" s="18"/>
      <c r="H2" s="18"/>
    </row>
    <row r="4" spans="2:8" ht="15.75" x14ac:dyDescent="0.25">
      <c r="B4" s="14" t="s">
        <v>119</v>
      </c>
    </row>
    <row r="5" spans="2:8" ht="19.5" x14ac:dyDescent="0.3">
      <c r="B5" s="15" t="s">
        <v>120</v>
      </c>
      <c r="C5" s="18"/>
      <c r="D5" s="18"/>
      <c r="E5" s="18"/>
      <c r="F5" s="18"/>
      <c r="G5" s="18"/>
      <c r="H5" s="18"/>
    </row>
    <row r="6" spans="2:8" ht="15.75" x14ac:dyDescent="0.25">
      <c r="B6" s="16" t="s">
        <v>122</v>
      </c>
      <c r="C6" s="18"/>
      <c r="D6" s="18"/>
      <c r="E6" s="18"/>
      <c r="F6" s="18"/>
      <c r="G6" s="18"/>
      <c r="H6" s="18"/>
    </row>
    <row r="7" spans="2:8" ht="15.75" x14ac:dyDescent="0.25">
      <c r="B7" s="17" t="s">
        <v>123</v>
      </c>
      <c r="C7" s="17" t="s">
        <v>124</v>
      </c>
      <c r="D7" s="17" t="s">
        <v>125</v>
      </c>
      <c r="E7" s="17" t="s">
        <v>126</v>
      </c>
      <c r="F7" s="17" t="s">
        <v>127</v>
      </c>
      <c r="G7" s="17" t="s">
        <v>128</v>
      </c>
      <c r="H7" s="17" t="s">
        <v>129</v>
      </c>
    </row>
    <row r="8" spans="2:8" x14ac:dyDescent="0.25">
      <c r="B8" s="7" t="s">
        <v>130</v>
      </c>
      <c r="C8" s="1" t="s">
        <v>130</v>
      </c>
      <c r="D8" s="1" t="s">
        <v>131</v>
      </c>
      <c r="E8" s="1" t="s">
        <v>131</v>
      </c>
      <c r="F8" s="1" t="s">
        <v>132</v>
      </c>
      <c r="G8" s="1" t="s">
        <v>132</v>
      </c>
      <c r="H8" s="1" t="s">
        <v>132</v>
      </c>
    </row>
    <row r="9" spans="2:8" ht="15.75" x14ac:dyDescent="0.25">
      <c r="B9" s="16" t="s">
        <v>139</v>
      </c>
      <c r="C9" s="18"/>
      <c r="D9" s="18"/>
      <c r="E9" s="18"/>
      <c r="F9" s="18"/>
      <c r="G9" s="18"/>
      <c r="H9" s="18"/>
    </row>
    <row r="10" spans="2:8" ht="15.75" x14ac:dyDescent="0.25">
      <c r="B10" s="19" t="s">
        <v>140</v>
      </c>
      <c r="C10" s="19" t="s">
        <v>124</v>
      </c>
      <c r="D10" s="19" t="s">
        <v>125</v>
      </c>
      <c r="E10" s="19" t="s">
        <v>126</v>
      </c>
      <c r="F10" s="19" t="s">
        <v>127</v>
      </c>
      <c r="G10" s="19" t="s">
        <v>129</v>
      </c>
      <c r="H10" s="19" t="s">
        <v>128</v>
      </c>
    </row>
    <row r="11" spans="2:8" x14ac:dyDescent="0.25">
      <c r="B11" s="7">
        <v>1</v>
      </c>
      <c r="C11" s="1" t="s">
        <v>141</v>
      </c>
      <c r="D11" s="1" t="s">
        <v>142</v>
      </c>
      <c r="E11" s="1" t="s">
        <v>143</v>
      </c>
      <c r="F11" s="1" t="s">
        <v>131</v>
      </c>
      <c r="G11" s="1" t="s">
        <v>144</v>
      </c>
      <c r="H11" s="1" t="s">
        <v>145</v>
      </c>
    </row>
    <row r="12" spans="2:8" x14ac:dyDescent="0.25">
      <c r="B12" s="7">
        <v>2</v>
      </c>
      <c r="C12" s="1" t="s">
        <v>146</v>
      </c>
      <c r="D12" s="1" t="s">
        <v>147</v>
      </c>
      <c r="E12" s="1" t="s">
        <v>148</v>
      </c>
      <c r="F12" s="1" t="s">
        <v>149</v>
      </c>
      <c r="G12" s="1" t="s">
        <v>150</v>
      </c>
      <c r="H12" s="1" t="s">
        <v>151</v>
      </c>
    </row>
    <row r="13" spans="2:8" x14ac:dyDescent="0.25">
      <c r="B13" s="7">
        <v>3</v>
      </c>
      <c r="C13" s="1" t="s">
        <v>152</v>
      </c>
      <c r="D13" s="1" t="s">
        <v>153</v>
      </c>
      <c r="E13" s="1" t="s">
        <v>154</v>
      </c>
      <c r="F13" s="1" t="s">
        <v>149</v>
      </c>
      <c r="G13" s="1" t="s">
        <v>155</v>
      </c>
      <c r="H13" s="1" t="s">
        <v>156</v>
      </c>
    </row>
    <row r="14" spans="2:8" x14ac:dyDescent="0.25">
      <c r="B14" s="7">
        <v>4</v>
      </c>
      <c r="C14" s="1" t="s">
        <v>131</v>
      </c>
      <c r="D14" s="1" t="s">
        <v>157</v>
      </c>
      <c r="E14" s="1" t="s">
        <v>158</v>
      </c>
      <c r="F14" s="1" t="s">
        <v>159</v>
      </c>
      <c r="G14" s="1" t="s">
        <v>160</v>
      </c>
      <c r="H14" s="1" t="s">
        <v>161</v>
      </c>
    </row>
    <row r="17" spans="2:8" ht="19.5" x14ac:dyDescent="0.3">
      <c r="B17" s="15" t="s">
        <v>121</v>
      </c>
      <c r="C17" s="18"/>
      <c r="D17" s="18"/>
      <c r="E17" s="18"/>
      <c r="F17" s="18"/>
      <c r="G17" s="18"/>
      <c r="H17" s="18"/>
    </row>
    <row r="18" spans="2:8" ht="15.75" x14ac:dyDescent="0.25">
      <c r="B18" s="16" t="s">
        <v>122</v>
      </c>
      <c r="C18" s="18"/>
      <c r="D18" s="18"/>
      <c r="E18" s="18"/>
      <c r="F18" s="18"/>
      <c r="G18" s="18"/>
      <c r="H18" s="18"/>
    </row>
    <row r="19" spans="2:8" ht="15.75" x14ac:dyDescent="0.25">
      <c r="B19" s="17" t="s">
        <v>123</v>
      </c>
      <c r="C19" s="17" t="s">
        <v>124</v>
      </c>
      <c r="D19" s="17" t="s">
        <v>125</v>
      </c>
      <c r="E19" s="17" t="s">
        <v>126</v>
      </c>
      <c r="F19" s="17" t="s">
        <v>127</v>
      </c>
      <c r="G19" s="17" t="s">
        <v>128</v>
      </c>
      <c r="H19" s="17" t="s">
        <v>129</v>
      </c>
    </row>
    <row r="20" spans="2:8" x14ac:dyDescent="0.25">
      <c r="B20" s="7" t="s">
        <v>133</v>
      </c>
      <c r="C20" s="1" t="s">
        <v>131</v>
      </c>
      <c r="D20" s="1" t="s">
        <v>134</v>
      </c>
      <c r="E20" s="1" t="s">
        <v>135</v>
      </c>
      <c r="F20" s="1" t="s">
        <v>136</v>
      </c>
      <c r="G20" s="1" t="s">
        <v>137</v>
      </c>
      <c r="H20" s="1" t="s">
        <v>138</v>
      </c>
    </row>
    <row r="21" spans="2:8" ht="15.75" x14ac:dyDescent="0.25">
      <c r="B21" s="16" t="s">
        <v>139</v>
      </c>
      <c r="C21" s="18"/>
      <c r="D21" s="18"/>
      <c r="E21" s="18"/>
      <c r="F21" s="18"/>
      <c r="G21" s="18"/>
      <c r="H21" s="18"/>
    </row>
    <row r="22" spans="2:8" ht="15.75" x14ac:dyDescent="0.25">
      <c r="B22" s="19" t="s">
        <v>140</v>
      </c>
      <c r="C22" s="19" t="s">
        <v>124</v>
      </c>
      <c r="D22" s="19" t="s">
        <v>125</v>
      </c>
      <c r="E22" s="19" t="s">
        <v>126</v>
      </c>
      <c r="F22" s="19" t="s">
        <v>127</v>
      </c>
      <c r="G22" s="19" t="s">
        <v>129</v>
      </c>
      <c r="H22" s="19" t="s">
        <v>128</v>
      </c>
    </row>
    <row r="23" spans="2:8" x14ac:dyDescent="0.25">
      <c r="B23" s="7">
        <v>1</v>
      </c>
      <c r="C23" s="1" t="s">
        <v>162</v>
      </c>
      <c r="D23" s="1" t="s">
        <v>131</v>
      </c>
      <c r="E23" s="1" t="s">
        <v>131</v>
      </c>
      <c r="F23" s="1" t="s">
        <v>163</v>
      </c>
      <c r="G23" s="1" t="s">
        <v>163</v>
      </c>
      <c r="H23" s="1" t="s">
        <v>163</v>
      </c>
    </row>
    <row r="24" spans="2:8" x14ac:dyDescent="0.25">
      <c r="B24" s="7">
        <v>2</v>
      </c>
      <c r="C24" s="1" t="s">
        <v>164</v>
      </c>
      <c r="D24" s="1" t="s">
        <v>165</v>
      </c>
      <c r="E24" s="1" t="s">
        <v>166</v>
      </c>
      <c r="F24" s="1" t="s">
        <v>131</v>
      </c>
      <c r="G24" s="1" t="s">
        <v>167</v>
      </c>
      <c r="H24" s="1" t="s">
        <v>168</v>
      </c>
    </row>
    <row r="25" spans="2:8" x14ac:dyDescent="0.25">
      <c r="B25" s="7">
        <v>3</v>
      </c>
      <c r="C25" s="1" t="s">
        <v>169</v>
      </c>
      <c r="D25" s="1" t="s">
        <v>170</v>
      </c>
      <c r="E25" s="1" t="s">
        <v>171</v>
      </c>
      <c r="F25" s="1" t="s">
        <v>131</v>
      </c>
      <c r="G25" s="1" t="s">
        <v>172</v>
      </c>
      <c r="H25" s="1" t="s">
        <v>173</v>
      </c>
    </row>
    <row r="26" spans="2:8" x14ac:dyDescent="0.25">
      <c r="B26" s="7">
        <v>4</v>
      </c>
      <c r="C26" s="1" t="s">
        <v>174</v>
      </c>
      <c r="D26" s="1" t="s">
        <v>175</v>
      </c>
      <c r="E26" s="1" t="s">
        <v>176</v>
      </c>
      <c r="F26" s="1" t="s">
        <v>131</v>
      </c>
      <c r="G26" s="1" t="s">
        <v>177</v>
      </c>
      <c r="H26" s="1" t="s">
        <v>178</v>
      </c>
    </row>
  </sheetData>
  <mergeCells count="7">
    <mergeCell ref="B17:H17"/>
    <mergeCell ref="B18:H18"/>
    <mergeCell ref="B21:H21"/>
    <mergeCell ref="B2:H2"/>
    <mergeCell ref="B5:H5"/>
    <mergeCell ref="B6:H6"/>
    <mergeCell ref="B9:H9"/>
  </mergeCells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Teste</vt:lpstr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2026-04-06T20:11:11Z</dcterms:modified>
</cp:coreProperties>
</file>
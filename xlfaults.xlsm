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26ecb8f2d0b4be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084B0027-25F2-4D7D-B310-412AEBDBDBC6}" xr6:coauthVersionLast="47" xr6:coauthVersionMax="47" xr10:uidLastSave="{00000000-0000-0000-0000-000000000000}"/>
  <bookViews>
    <workbookView xWindow="-120" yWindow="-120" windowWidth="29040" windowHeight="15720" tabRatio="0" firstSheet="2" activeTab="2" xr2:uid="{2D99AEA3-E3D3-48D2-BF79-9D8C0154BEA9}"/>
  </bookViews>
  <sheets>
    <sheet name="Oculto" sheetId="14" state="veryHidden" r:id="rId1"/>
    <sheet name="Configurações" sheetId="13" r:id="rId2"/>
    <sheet name="Barramentos" sheetId="3" r:id="rId3"/>
    <sheet name="Transformadores" sheetId="4" r:id="rId4"/>
    <sheet name="Linhas de Transmissão" sheetId="5" r:id="rId5"/>
    <sheet name="Máquinas" sheetId="6" r:id="rId6"/>
    <sheet name="Carga" sheetId="7" r:id="rId7"/>
    <sheet name="Y Barra (+) (-)" sheetId="1" r:id="rId8"/>
    <sheet name="Z Barra (+) (-)" sheetId="9" r:id="rId9"/>
    <sheet name="Y Barra (0)" sheetId="10" r:id="rId10"/>
    <sheet name="Z Barra (0)" sheetId="11" r:id="rId11"/>
    <sheet name="Relatório" sheetId="12" r:id="rId12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" l="1"/>
  <c r="D4" i="3"/>
  <c r="D5" i="3"/>
  <c r="G3" i="13" l="1"/>
  <c r="H3" i="13"/>
  <c r="M2" i="5"/>
  <c r="L2" i="5"/>
  <c r="K2" i="5"/>
  <c r="J2" i="5"/>
  <c r="M2" i="6"/>
  <c r="M3" i="6"/>
  <c r="R2" i="6"/>
  <c r="R3" i="6"/>
  <c r="Q2" i="6"/>
  <c r="Q3" i="6"/>
  <c r="P2" i="6"/>
  <c r="P3" i="6"/>
  <c r="O2" i="6"/>
  <c r="O3" i="6"/>
  <c r="N2" i="6"/>
  <c r="N3" i="6"/>
  <c r="H2" i="13"/>
  <c r="G2" i="13"/>
  <c r="D2" i="3"/>
  <c r="G2" i="7"/>
  <c r="F2" i="7"/>
  <c r="T2" i="4"/>
  <c r="T3" i="4"/>
  <c r="S2" i="4"/>
  <c r="S3" i="4"/>
  <c r="R2" i="4"/>
  <c r="R3" i="4"/>
  <c r="Q2" i="4"/>
  <c r="Q3" i="4"/>
  <c r="U3" i="4"/>
  <c r="V3" i="4"/>
  <c r="W3" i="4"/>
  <c r="X3" i="4"/>
  <c r="I3" i="13" l="1"/>
  <c r="H2" i="7"/>
  <c r="Y3" i="4"/>
  <c r="I2" i="13"/>
  <c r="X2" i="4"/>
  <c r="W2" i="4"/>
  <c r="V2" i="4"/>
  <c r="U2" i="4"/>
  <c r="Y2" i="4" l="1"/>
  <c r="S3" i="6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tc={2F63ECFB-8593-4880-A2E7-EC5DA401CC84}</author>
  </authors>
  <commentList>
    <comment ref="B1" authorId="0" shapeId="0" xr:uid="{2F63ECFB-8593-4880-A2E7-EC5DA401CC8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Preenchimento obrigatório para o diagrama.</t>
      </text>
    </comment>
  </commentList>
</comments>
</file>

<file path=xl/sharedStrings.xml><?xml version="1.0" encoding="utf-8"?>
<sst xmlns="http://schemas.openxmlformats.org/spreadsheetml/2006/main" count="440" uniqueCount="192">
  <si>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</si>
  <si>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</si>
  <si>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</si>
  <si>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</si>
  <si>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</si>
  <si>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</si>
  <si>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</si>
  <si>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</si>
  <si>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</si>
  <si>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</si>
  <si>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</si>
  <si>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</si>
  <si>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</si>
  <si>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</si>
  <si>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</si>
  <si>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</si>
  <si>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</si>
  <si>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</si>
  <si>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</si>
  <si>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</si>
  <si>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</si>
  <si>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</si>
  <si>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</si>
  <si>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</si>
  <si>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</si>
  <si>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</si>
  <si>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</si>
  <si>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</si>
  <si>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</si>
  <si>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</si>
  <si>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</si>
  <si>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</si>
  <si>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</si>
  <si>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</si>
  <si>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</si>
  <si>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</si>
  <si>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</si>
  <si>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</si>
  <si>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</si>
  <si>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</si>
  <si>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RN (%)</t>
  </si>
  <si>
    <t>RN (pu) Base</t>
  </si>
  <si>
    <t>Monofásico</t>
  </si>
  <si>
    <t>0.0000+0.0000j</t>
  </si>
  <si>
    <t>Yt-Yt</t>
  </si>
  <si>
    <t>Resistência de Falta (Ω)</t>
  </si>
  <si>
    <t>Reatância de Falta (Ω)</t>
  </si>
  <si>
    <t>Reatância de Falta (pu)</t>
  </si>
  <si>
    <t>Resistência de Falta (pu)</t>
  </si>
  <si>
    <t>Defasagem (°)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</si>
  <si>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</si>
  <si>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</si>
  <si>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</si>
  <si>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</si>
  <si>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</si>
  <si>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</si>
  <si>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Status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</si>
  <si>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</si>
  <si>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</si>
  <si>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</si>
  <si>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</si>
  <si>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</si>
  <si>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</si>
  <si>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</si>
  <si>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</si>
  <si>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</si>
  <si>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</si>
  <si>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</si>
  <si>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</si>
  <si>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</si>
  <si>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</si>
  <si>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Barramento</t>
  </si>
  <si>
    <t>Trifásico</t>
  </si>
  <si>
    <t>Curto Circuito Monofásico na Barra 4 - Tensão Pré Falta 1 ∠ 0° PU - Impedância de falta 0j PU</t>
  </si>
  <si>
    <t>Curto Circuito Trifásico na Barra 2 - Tensão Pré Falta 1 ∠ 0° PU - Impedância de falta 0j PU</t>
  </si>
  <si>
    <t>0.0000+5.0000j</t>
  </si>
  <si>
    <t>Real</t>
  </si>
  <si>
    <t>0.0000-13.4375j</t>
  </si>
  <si>
    <t>0.0000+10.9375j</t>
  </si>
  <si>
    <t>0.0000-15.9375j</t>
  </si>
  <si>
    <t>0.0000-17.5000j</t>
  </si>
  <si>
    <t>0.0000+12.5000j</t>
  </si>
  <si>
    <t>0.0000-14.5000j</t>
  </si>
  <si>
    <t>0.0000+0.2742j</t>
  </si>
  <si>
    <t>0.0000+0.2454j</t>
  </si>
  <si>
    <t>0.0000+0.1825j</t>
  </si>
  <si>
    <t>0.0000+0.1573j</t>
  </si>
  <si>
    <t>0.0000+0.3015j</t>
  </si>
  <si>
    <t>0.0000+0.2242j</t>
  </si>
  <si>
    <t>0.0000+0.1933j</t>
  </si>
  <si>
    <t>0.0000+0.3154j</t>
  </si>
  <si>
    <t>0.0000+0.2719j</t>
  </si>
  <si>
    <t>0.0000+0.3034j</t>
  </si>
  <si>
    <t>0.0000+2.5000j</t>
  </si>
  <si>
    <t>0.0000-15.0000j</t>
  </si>
  <si>
    <t>0.0000-16.5000j</t>
  </si>
  <si>
    <t>0.0000+0.1608j</t>
  </si>
  <si>
    <t>0.0000+0.1429j</t>
  </si>
  <si>
    <t>0.0000+0.0646j</t>
  </si>
  <si>
    <t>0.0000+0.0490j</t>
  </si>
  <si>
    <t>0.0000+0.2083j</t>
  </si>
  <si>
    <t>0.0000+0.0942j</t>
  </si>
  <si>
    <t>0.0000+0.0713j</t>
  </si>
  <si>
    <t>0.0000+0.2234j</t>
  </si>
  <si>
    <t>0.0000+0.1692j</t>
  </si>
  <si>
    <t>0.0000+0.1888j</t>
  </si>
  <si>
    <t>Correntes de Curto Circuito (kA)</t>
  </si>
  <si>
    <t>29.0289 ∠ -90.00°</t>
  </si>
  <si>
    <t>9.6763 ∠ -90.00°</t>
  </si>
  <si>
    <t>Tensões nos Barramentos (kV)</t>
  </si>
  <si>
    <t>4.7026 ∠ 0.00°</t>
  </si>
  <si>
    <t>8.1349 ∠ -112.79°</t>
  </si>
  <si>
    <t>8.1349 ∠ 112.79°</t>
  </si>
  <si>
    <t>0.5329 ∠ 180.00°</t>
  </si>
  <si>
    <t>6.9479 ∠ 0.00°</t>
  </si>
  <si>
    <t>1.7124 ∠ 180.00°</t>
  </si>
  <si>
    <t>84.5532 ∠ 0.00°</t>
  </si>
  <si>
    <t>185.8123 ∠ -111.82°</t>
  </si>
  <si>
    <t>185.8123 ∠ 111.82°</t>
  </si>
  <si>
    <t>17.8589 ∠ 180.00°</t>
  </si>
  <si>
    <t>150.7989 ∠ 0.00°</t>
  </si>
  <si>
    <t>48.3869 ∠ 180.00°</t>
  </si>
  <si>
    <t>20.6563 ∠ 0.00°</t>
  </si>
  <si>
    <t>187.6571 ∠ -113.19°</t>
  </si>
  <si>
    <t>187.6571 ∠ 113.19°</t>
  </si>
  <si>
    <t>42.3710 ∠ 180.00°</t>
  </si>
  <si>
    <t>131.1066 ∠ 0.00°</t>
  </si>
  <si>
    <t>68.0793 ∠ 180.00°</t>
  </si>
  <si>
    <t>8.1090 ∠ -112.35°</t>
  </si>
  <si>
    <t>8.1090 ∠ 112.35°</t>
  </si>
  <si>
    <t>2.0554 ∠ 180.00°</t>
  </si>
  <si>
    <t>5.3578 ∠ 0.00°</t>
  </si>
  <si>
    <t>3.3024 ∠ 180.00°</t>
  </si>
  <si>
    <t>Correntes de Contribuição (kA)</t>
  </si>
  <si>
    <t>0.4339 ∠ -90.00°</t>
  </si>
  <si>
    <t>0.0625 ∠ 90.00°</t>
  </si>
  <si>
    <t>0.1030 ∠ -90.00°</t>
  </si>
  <si>
    <t>0.1654 ∠ -90.00°</t>
  </si>
  <si>
    <t>9.9789 ∠ -90.00°</t>
  </si>
  <si>
    <t>1.4370 ∠ 90.00°</t>
  </si>
  <si>
    <t>2.3683 ∠ -90.00°</t>
  </si>
  <si>
    <t>3.8053 ∠ -90.00°</t>
  </si>
  <si>
    <t>19.0500 ∠ -90.00°</t>
  </si>
  <si>
    <t>1.4370 ∠ -90.00°</t>
  </si>
  <si>
    <t>7.3080 ∠ -90.00°</t>
  </si>
  <si>
    <t>5.8710 ∠ -90.00°</t>
  </si>
  <si>
    <t>Correntes Injetadas nos Barramentos (kA)</t>
  </si>
  <si>
    <t>19.2450 ∠ -90.00°</t>
  </si>
  <si>
    <t>19.2450 ∠ 150.00°</t>
  </si>
  <si>
    <t>19.2450 ∠ 30.00°</t>
  </si>
  <si>
    <t>13.6329 ∠ 90.00°</t>
  </si>
  <si>
    <t>15.3960 ∠ 150.00°</t>
  </si>
  <si>
    <t>15.3960 ∠ 30.00°</t>
  </si>
  <si>
    <t>9.6763 ∠ 90.00°</t>
  </si>
  <si>
    <t>5.7197 ∠ -90.00°</t>
  </si>
  <si>
    <t>1.1100 ∠ -89.04°</t>
  </si>
  <si>
    <t>1.1100 ∠ 150.96°</t>
  </si>
  <si>
    <t>1.1100 ∠ 30.96°</t>
  </si>
  <si>
    <t>1.6175 ∠ -4.18°</t>
  </si>
  <si>
    <t>1.6175 ∠ -124.18°</t>
  </si>
  <si>
    <t>1.6175 ∠ 115.82°</t>
  </si>
  <si>
    <t>3.3300 ∠ -89.04°</t>
  </si>
  <si>
    <t>3.3300 ∠ 150.96°</t>
  </si>
  <si>
    <t>3.3300 ∠ 30.96°</t>
  </si>
  <si>
    <t>51.1746 ∠ -2.77°</t>
  </si>
  <si>
    <t>51.1746 ∠ -122.77°</t>
  </si>
  <si>
    <t>51.1746 ∠ 117.23°</t>
  </si>
  <si>
    <t>3.1117 ∠ -1.71°</t>
  </si>
  <si>
    <t>3.1117 ∠ -121.71°</t>
  </si>
  <si>
    <t>3.1117 ∠ 118.29°</t>
  </si>
  <si>
    <t>0.4290 ∠ 90.96°</t>
  </si>
  <si>
    <t>0.4290 ∠ -29.04°</t>
  </si>
  <si>
    <t>0.4290 ∠ -149.04°</t>
  </si>
  <si>
    <t>15.6624 ∠ -89.04°</t>
  </si>
  <si>
    <t>15.6624 ∠ 150.96°</t>
  </si>
  <si>
    <t>15.6624 ∠ 30.96°</t>
  </si>
  <si>
    <t>9.8679 ∠ -89.04°</t>
  </si>
  <si>
    <t>9.8679 ∠ 150.96°</t>
  </si>
  <si>
    <t>9.8679 ∠ 30.96°</t>
  </si>
  <si>
    <t>0.6810 ∠ -89.04°</t>
  </si>
  <si>
    <t>0.6810 ∠ 150.96°</t>
  </si>
  <si>
    <t>0.6810 ∠ 30.96°</t>
  </si>
  <si>
    <t>9.8679 ∠ 90.96°</t>
  </si>
  <si>
    <t>9.8679 ∠ -29.04°</t>
  </si>
  <si>
    <t>9.8679 ∠ -149.04°</t>
  </si>
  <si>
    <t>1.1100 ∠ 90.96°</t>
  </si>
  <si>
    <t>1.1100 ∠ -29.04°</t>
  </si>
  <si>
    <t>1.1100 ∠ -149.04°</t>
  </si>
  <si>
    <t>15.3960 ∠ -90.00°</t>
  </si>
  <si>
    <t>oLA</t>
  </si>
  <si>
    <t>Data: 10/04/2026 17:34:23</t>
  </si>
  <si>
    <t>Xlfaults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</si>
</sst>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left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9" fillId="2" borderId="0" xfId="0" applyFont="1" applyFill="1" applyAlignment="1">
      <alignment horizontal="center"/>
    </xf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3" insertRowShift="1" totalsRowShown="0" headerRowDxfId="93" dataDxfId="92">
  <autoFilter ref="A1:I3" xr:uid="{193FD222-520A-4DD8-BE18-987EE612A9D0}"/>
  <tableColumns count="9">
    <tableColumn id="3" xr3:uid="{CA127CF5-E49A-4A9B-B187-4761AA1A79D7}" name="Tipo de Curto Circuito" dataDxfId="91"/>
    <tableColumn id="4" xr3:uid="{88F28AA7-C36A-4434-AD6B-50BE92E74F4D}" name="Barra de Ocorrência" dataDxfId="90"/>
    <tableColumn id="1" xr3:uid="{F4241A51-9F4A-4C52-8A84-2A790858DBF2}" name="Resistência de Falta (Ω)" dataDxfId="89"/>
    <tableColumn id="5" xr3:uid="{27F9348A-202C-4C0A-A004-3C442352EC0A}" name="Reatância de Falta (Ω)" dataDxfId="88"/>
    <tableColumn id="7" xr3:uid="{4EDE8271-7299-42E4-8C91-5F8E909EDF0D}" name="Módulo Tensão Pré-Falta (pu)" dataDxfId="87"/>
    <tableColumn id="8" xr3:uid="{F28A6798-519F-471F-90C9-C4B09058FAAC}" name="Ângulo Tensão Pré-Falta (graus)" dataDxfId="86"/>
    <tableColumn id="6" xr3:uid="{1BF22A3B-7D9D-4AC4-95DB-628DCE968BE5}" name="Resistência de Falta (pu)" dataDxfId="85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84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83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100">
  <autoFilter ref="A1:D5" xr:uid="{185A231E-D573-421A-8DE0-86DC8EC5B091}"/>
  <tableColumns count="4">
    <tableColumn id="1" xr3:uid="{8EBD12C1-4E78-43A6-AE95-30F1337B03D1}" name="Nome" dataDxfId="99"/>
    <tableColumn id="2" xr3:uid="{CFD29857-E1CA-4766-A849-933A0A451513}" name="Número" dataDxfId="98"/>
    <tableColumn id="3" xr3:uid="{B100B757-52E1-499F-9BC6-78F92CB8E714}" name="Tensão (kV)" dataDxfId="97"/>
    <tableColumn id="4" xr3:uid="{45DAEBD0-AEA5-404D-83FA-86673FA4DA4E}" name="Status" dataDxfId="96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79">
  <autoFilter ref="A1:Y3" xr:uid="{A4AC50ED-6DE4-4C38-93EE-BDF3497EA246}"/>
  <tableColumns count="25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17" xr3:uid="{643462F2-B827-4D92-BB8D-B63F2A8B46DE}" name="R1 (%)" dataDxfId="72"/>
    <tableColumn id="18" xr3:uid="{978EA81F-1DF1-4135-9DED-967EDBEF3113}" name="R0 (%)" dataDxfId="71"/>
    <tableColumn id="19" xr3:uid="{7114C9F7-2A77-4742-998E-9665ED40D853}" name="RN P (%)" dataDxfId="70"/>
    <tableColumn id="20" xr3:uid="{E2838565-8CDC-4D7D-9D23-62F5CCD93DBC}" name="RN S (%)" dataDxfId="69"/>
    <tableColumn id="7" xr3:uid="{B0A73F71-8999-46E8-8E3D-7A74ED6AD1DE}" name="X1 (%)" dataDxfId="68"/>
    <tableColumn id="8" xr3:uid="{683A169E-13B2-47A8-905B-31A9A7946BFF}" name="X0 (%)" dataDxfId="67"/>
    <tableColumn id="9" xr3:uid="{0CED62B1-AB9E-472F-B905-855FCDDA5621}" name="XN P (%)" dataDxfId="66"/>
    <tableColumn id="10" xr3:uid="{5A25097B-1431-4425-93D5-7DA14A630D4D}" name="XN S (%)" dataDxfId="65"/>
    <tableColumn id="11" xr3:uid="{17BC764E-AC0C-41D2-A895-E25CF32BD66D}" name="Tipo de Conexão" dataDxfId="64"/>
    <tableColumn id="16" xr3:uid="{C26B22AC-395A-4831-B51C-EDF601536FBA}" name="Defasagem (°)" dataDxfId="63"/>
    <tableColumn id="21" xr3:uid="{E121F7A3-274E-4A17-BA4E-674BD1AB4224}" name="R1 (pu) Base" dataDxfId="62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1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0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59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5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54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36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31">
  <autoFilter ref="A1:S3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" dT="2026-04-10T20:44:07.41" personId="{427EDA70-F2A6-43BD-9A42-79A0A53CE1F7}" id="{2F63ECFB-8593-4880-A2E7-EC5DA401CC84}">
    <text>Preenchimento obrigatório para o diagrama.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J16" sqref="J16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191</v>
      </c>
    </row>
    <row r="3" spans="1:1" x14ac:dyDescent="0.25">
      <c r="A3" t="s">
        <v>76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3"/>
  <sheetViews>
    <sheetView showGridLines="0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16" customWidth="1"/>
    <col min="2" max="2" width="27" style="16" customWidth="1"/>
    <col min="3" max="3" width="29" style="16" customWidth="1"/>
    <col min="4" max="4" width="27.140625" style="16" customWidth="1"/>
    <col min="5" max="5" width="34.140625" style="16" customWidth="1"/>
    <col min="6" max="6" width="36" style="16" customWidth="1"/>
    <col min="7" max="7" width="29.7109375" style="16" customWidth="1"/>
    <col min="8" max="8" width="30.7109375" style="18" customWidth="1"/>
    <col min="9" max="9" width="23.28515625" style="18" bestFit="1" customWidth="1"/>
    <col min="10" max="16384" width="9.140625" style="18"/>
  </cols>
  <sheetData>
    <row r="1" spans="1:9" x14ac:dyDescent="0.25">
      <c r="A1" s="16" t="s">
        <v>27</v>
      </c>
      <c r="B1" s="16" t="s">
        <v>28</v>
      </c>
      <c r="C1" s="16" t="s">
        <v>45</v>
      </c>
      <c r="D1" s="16" t="s">
        <v>46</v>
      </c>
      <c r="E1" s="16" t="s">
        <v>54</v>
      </c>
      <c r="F1" s="16" t="s">
        <v>55</v>
      </c>
      <c r="G1" s="17" t="s">
        <v>48</v>
      </c>
      <c r="H1" s="17" t="s">
        <v>47</v>
      </c>
      <c r="I1" s="17" t="s">
        <v>56</v>
      </c>
    </row>
    <row r="2" spans="1:9" x14ac:dyDescent="0.25">
      <c r="A2" s="16" t="s">
        <v>42</v>
      </c>
      <c r="B2" s="19">
        <v>4</v>
      </c>
      <c r="C2" s="16">
        <v>0</v>
      </c>
      <c r="D2" s="16">
        <v>0</v>
      </c>
      <c r="E2" s="20">
        <v>1</v>
      </c>
      <c r="F2" s="20">
        <v>0</v>
      </c>
      <c r="G2" s="21">
        <f>IFERROR(Configurações[[#This Row],[Resistência de Falta (Ω)]] /
(
POWER(
_xlfn.XLOOKUP(Configurações[[#This Row],[Barra de Ocorrência]],Barramentos[Número],Barramentos[Tensão (kV)],"-",0),
2
)
/Potencia_Base
),"")</f>
        <v>0</v>
      </c>
      <c r="H2" s="21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2" s="22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6" t="s">
        <v>72</v>
      </c>
      <c r="B3" s="19">
        <v>2</v>
      </c>
      <c r="C3" s="16">
        <v>1</v>
      </c>
      <c r="D3" s="16">
        <v>0</v>
      </c>
      <c r="E3" s="20">
        <v>1</v>
      </c>
      <c r="F3" s="20">
        <v>0</v>
      </c>
      <c r="G3" s="21">
        <f>IFERROR(Configurações[[#This Row],[Resistência de Falta (Ω)]] /
(
POWER(
_xlfn.XLOOKUP(Configurações[[#This Row],[Barra de Ocorrência]],Barramentos[Número],Barramentos[Tensão (kV)],"-",0),
2
)
/Potencia_Base
),"")</f>
        <v>8.4015963032976261E-4</v>
      </c>
      <c r="H3" s="21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3" s="22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10" name="Intervalo1"/>
  </protectedRanges>
  <conditionalFormatting sqref="I2:I3">
    <cfRule type="cellIs" dxfId="95" priority="1" operator="equal">
      <formula>"Ok"</formula>
    </cfRule>
    <cfRule type="cellIs" dxfId="94" priority="2" operator="equal">
      <formula>"Verificar!"</formula>
    </cfRule>
  </conditionalFormatting>
  <dataValidations count="4">
    <dataValidation type="list" allowBlank="1" showInputMessage="1" showErrorMessage="1" sqref="B2:B3" xr:uid="{D7AD2082-6D50-4A04-911E-F1BE7F72159B}">
      <formula1>INDIRECT("Barramentos[Número]")</formula1>
    </dataValidation>
    <dataValidation type="list" allowBlank="1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3" xr:uid="{E966FC70-F503-4F5B-A599-19E24597B9B5}">
      <formula1>0</formula1>
    </dataValidation>
    <dataValidation type="decimal" operator="greaterThanOrEqual" allowBlank="1" showInputMessage="1" showErrorMessage="1" sqref="D2:F3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tabSelected="1" workbookViewId="0">
      <selection activeCell="G13" sqref="G13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8" t="s">
        <v>56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D2:D5">
    <cfRule type="cellIs" dxfId="103" priority="1" operator="equal">
      <formula>"Verificar!"</formula>
    </cfRule>
    <cfRule type="cellIs" dxfId="102" priority="2" operator="equal">
      <formula>"Ok"</formula>
    </cfRule>
  </conditionalFormatting>
  <conditionalFormatting sqref="A2:B5">
    <cfRule type="duplicateValues" dxfId="101" priority="24"/>
  </conditionalFormatting>
  <dataValidations count="2">
    <dataValidation type="whole" allowBlank="1" showInputMessage="1" showErrorMessage="1" sqref="B2:B5" xr:uid="{730E81BB-091B-45D4-B9EC-9AF643D5CC82}">
      <formula1>1</formula1>
      <formula2>99999</formula2>
    </dataValidation>
    <dataValidation type="decimal" operator="greaterThan" allowBlank="1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zoomScaleNormal="100" workbookViewId="0"/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50</v>
      </c>
      <c r="J1" t="s">
        <v>51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49</v>
      </c>
      <c r="Q1" s="8" t="s">
        <v>10</v>
      </c>
      <c r="R1" s="8" t="s">
        <v>11</v>
      </c>
      <c r="S1" s="8" t="s">
        <v>52</v>
      </c>
      <c r="T1" s="8" t="s">
        <v>53</v>
      </c>
      <c r="U1" s="8" t="s">
        <v>12</v>
      </c>
      <c r="V1" s="8" t="s">
        <v>13</v>
      </c>
      <c r="W1" s="8" t="s">
        <v>19</v>
      </c>
      <c r="X1" s="8" t="s">
        <v>20</v>
      </c>
      <c r="Y1" s="8" t="s">
        <v>56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44</v>
      </c>
      <c r="P2" s="3">
        <v>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345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44</v>
      </c>
      <c r="P3" s="3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Y2:Y3">
    <cfRule type="cellIs" dxfId="82" priority="1" operator="equal">
      <formula>"Verificar!"</formula>
    </cfRule>
    <cfRule type="cellIs" dxfId="81" priority="2" operator="equal">
      <formula>"Ok"</formula>
    </cfRule>
  </conditionalFormatting>
  <conditionalFormatting sqref="A2:A3">
    <cfRule type="duplicateValues" dxfId="80" priority="23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allowBlank="1" showInputMessage="1" showErrorMessage="1" sqref="E2:E3 C2:C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8" t="s">
        <v>10</v>
      </c>
      <c r="K1" s="8" t="s">
        <v>11</v>
      </c>
      <c r="L1" s="8" t="s">
        <v>12</v>
      </c>
      <c r="M1" s="8" t="s">
        <v>13</v>
      </c>
      <c r="N1" s="8" t="s">
        <v>56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N2">
    <cfRule type="cellIs" dxfId="53" priority="1" operator="equal">
      <formula>"Verificar!"</formula>
    </cfRule>
    <cfRule type="cellIs" dxfId="52" priority="2" operator="equal">
      <formula>"Ok"</formula>
    </cfRule>
  </conditionalFormatting>
  <conditionalFormatting sqref="A2">
    <cfRule type="duplicateValues" dxfId="51" priority="22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2" width="19" customWidth="1"/>
    <col min="3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40</v>
      </c>
      <c r="I1" t="s">
        <v>8</v>
      </c>
      <c r="J1" t="s">
        <v>9</v>
      </c>
      <c r="K1" t="s">
        <v>23</v>
      </c>
      <c r="L1" t="s">
        <v>18</v>
      </c>
      <c r="M1" s="8" t="s">
        <v>10</v>
      </c>
      <c r="N1" s="8" t="s">
        <v>11</v>
      </c>
      <c r="O1" s="8" t="s">
        <v>41</v>
      </c>
      <c r="P1" s="8" t="s">
        <v>12</v>
      </c>
      <c r="Q1" s="8" t="s">
        <v>13</v>
      </c>
      <c r="R1" s="8" t="s">
        <v>24</v>
      </c>
      <c r="S1" s="8" t="s">
        <v>56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35" priority="13"/>
    <cfRule type="duplicateValues" dxfId="34" priority="14"/>
  </conditionalFormatting>
  <conditionalFormatting sqref="S2:S3">
    <cfRule type="cellIs" dxfId="33" priority="1" operator="equal">
      <formula>"Ok"</formula>
    </cfRule>
    <cfRule type="cellIs" dxfId="32" priority="2" operator="equal">
      <formula>"Verificar!"</formula>
    </cfRule>
  </conditionalFormatting>
  <dataValidations count="4">
    <dataValidation type="list" allowBlank="1" showInputMessage="1" showErrorMessage="1" sqref="B2:B3" xr:uid="{030B28AD-E1E3-4915-9BC7-7CE9F6F445BD}">
      <formula1>"Gerador,Motor"</formula1>
    </dataValidation>
    <dataValidation type="list" allowBlank="1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allowBlank="1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8" t="s">
        <v>10</v>
      </c>
      <c r="G1" s="8" t="s">
        <v>12</v>
      </c>
      <c r="H1" s="8" t="s">
        <v>56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77</v>
      </c>
      <c r="C2" s="15" t="s">
        <v>78</v>
      </c>
      <c r="D2" s="15" t="s">
        <v>43</v>
      </c>
      <c r="E2" s="15" t="s">
        <v>43</v>
      </c>
    </row>
    <row r="3" spans="1:5" ht="20.100000000000001" customHeight="1" x14ac:dyDescent="0.25">
      <c r="A3" s="14">
        <v>2</v>
      </c>
      <c r="B3" s="15" t="s">
        <v>78</v>
      </c>
      <c r="C3" s="15" t="s">
        <v>79</v>
      </c>
      <c r="D3" s="15" t="s">
        <v>75</v>
      </c>
      <c r="E3" s="15" t="s">
        <v>43</v>
      </c>
    </row>
    <row r="4" spans="1:5" ht="20.100000000000001" customHeight="1" x14ac:dyDescent="0.25">
      <c r="A4" s="14">
        <v>3</v>
      </c>
      <c r="B4" s="15" t="s">
        <v>43</v>
      </c>
      <c r="C4" s="15" t="s">
        <v>75</v>
      </c>
      <c r="D4" s="15" t="s">
        <v>80</v>
      </c>
      <c r="E4" s="15" t="s">
        <v>81</v>
      </c>
    </row>
    <row r="5" spans="1:5" ht="20.100000000000001" customHeight="1" x14ac:dyDescent="0.25">
      <c r="A5" s="14">
        <v>4</v>
      </c>
      <c r="B5" s="15" t="s">
        <v>43</v>
      </c>
      <c r="C5" s="15" t="s">
        <v>43</v>
      </c>
      <c r="D5" s="15" t="s">
        <v>81</v>
      </c>
      <c r="E5" s="15" t="s">
        <v>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83</v>
      </c>
      <c r="C2" s="15" t="s">
        <v>84</v>
      </c>
      <c r="D2" s="15" t="s">
        <v>85</v>
      </c>
      <c r="E2" s="15" t="s">
        <v>86</v>
      </c>
    </row>
    <row r="3" spans="1:5" ht="20.100000000000001" customHeight="1" x14ac:dyDescent="0.25">
      <c r="A3" s="14">
        <v>2</v>
      </c>
      <c r="B3" s="15" t="s">
        <v>84</v>
      </c>
      <c r="C3" s="15" t="s">
        <v>87</v>
      </c>
      <c r="D3" s="15" t="s">
        <v>88</v>
      </c>
      <c r="E3" s="15" t="s">
        <v>89</v>
      </c>
    </row>
    <row r="4" spans="1:5" ht="20.100000000000001" customHeight="1" x14ac:dyDescent="0.25">
      <c r="A4" s="14">
        <v>3</v>
      </c>
      <c r="B4" s="15" t="s">
        <v>85</v>
      </c>
      <c r="C4" s="15" t="s">
        <v>88</v>
      </c>
      <c r="D4" s="15" t="s">
        <v>90</v>
      </c>
      <c r="E4" s="15" t="s">
        <v>91</v>
      </c>
    </row>
    <row r="5" spans="1:5" ht="20.100000000000001" customHeight="1" x14ac:dyDescent="0.25">
      <c r="A5" s="14">
        <v>4</v>
      </c>
      <c r="B5" s="15" t="s">
        <v>86</v>
      </c>
      <c r="C5" s="15" t="s">
        <v>89</v>
      </c>
      <c r="D5" s="15" t="s">
        <v>91</v>
      </c>
      <c r="E5" s="15" t="s">
        <v>92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4.85546875" style="1" bestFit="1" customWidth="1"/>
    <col min="6" max="16384" width="9.140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79</v>
      </c>
      <c r="C2" s="15" t="s">
        <v>78</v>
      </c>
      <c r="D2" s="15" t="s">
        <v>43</v>
      </c>
      <c r="E2" s="15" t="s">
        <v>43</v>
      </c>
    </row>
    <row r="3" spans="1:5" ht="20.100000000000001" customHeight="1" x14ac:dyDescent="0.25">
      <c r="A3" s="14">
        <v>2</v>
      </c>
      <c r="B3" s="15" t="s">
        <v>78</v>
      </c>
      <c r="C3" s="15" t="s">
        <v>77</v>
      </c>
      <c r="D3" s="15" t="s">
        <v>93</v>
      </c>
      <c r="E3" s="15" t="s">
        <v>43</v>
      </c>
    </row>
    <row r="4" spans="1:5" ht="20.100000000000001" customHeight="1" x14ac:dyDescent="0.25">
      <c r="A4" s="14">
        <v>3</v>
      </c>
      <c r="B4" s="15" t="s">
        <v>43</v>
      </c>
      <c r="C4" s="15" t="s">
        <v>93</v>
      </c>
      <c r="D4" s="15" t="s">
        <v>94</v>
      </c>
      <c r="E4" s="15" t="s">
        <v>81</v>
      </c>
    </row>
    <row r="5" spans="1:5" ht="20.100000000000001" customHeight="1" x14ac:dyDescent="0.25">
      <c r="A5" s="14">
        <v>4</v>
      </c>
      <c r="B5" s="15" t="s">
        <v>43</v>
      </c>
      <c r="C5" s="15" t="s">
        <v>43</v>
      </c>
      <c r="D5" s="15" t="s">
        <v>81</v>
      </c>
      <c r="E5" s="15" t="s">
        <v>95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96</v>
      </c>
      <c r="C2" s="15" t="s">
        <v>97</v>
      </c>
      <c r="D2" s="15" t="s">
        <v>98</v>
      </c>
      <c r="E2" s="15" t="s">
        <v>99</v>
      </c>
    </row>
    <row r="3" spans="1:5" ht="20.100000000000001" customHeight="1" x14ac:dyDescent="0.25">
      <c r="A3" s="14">
        <v>2</v>
      </c>
      <c r="B3" s="15" t="s">
        <v>97</v>
      </c>
      <c r="C3" s="15" t="s">
        <v>100</v>
      </c>
      <c r="D3" s="15" t="s">
        <v>101</v>
      </c>
      <c r="E3" s="15" t="s">
        <v>102</v>
      </c>
    </row>
    <row r="4" spans="1:5" ht="20.100000000000001" customHeight="1" x14ac:dyDescent="0.25">
      <c r="A4" s="14">
        <v>3</v>
      </c>
      <c r="B4" s="15" t="s">
        <v>98</v>
      </c>
      <c r="C4" s="15" t="s">
        <v>101</v>
      </c>
      <c r="D4" s="15" t="s">
        <v>103</v>
      </c>
      <c r="E4" s="15" t="s">
        <v>104</v>
      </c>
    </row>
    <row r="5" spans="1:5" ht="20.100000000000001" customHeight="1" x14ac:dyDescent="0.25">
      <c r="A5" s="14">
        <v>4</v>
      </c>
      <c r="B5" s="15" t="s">
        <v>99</v>
      </c>
      <c r="C5" s="15" t="s">
        <v>102</v>
      </c>
      <c r="D5" s="15" t="s">
        <v>104</v>
      </c>
      <c r="E5" s="15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7"/>
  <sheetViews>
    <sheetView showGridLines="0" showRowColHeaders="0" workbookViewId="0">
      <pane ySplit="4" topLeftCell="A5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25" t="s">
        <v>189</v>
      </c>
      <c r="C2" s="25"/>
      <c r="D2" s="25"/>
      <c r="E2" s="25"/>
      <c r="F2" s="25"/>
      <c r="G2" s="25"/>
      <c r="H2" s="25"/>
    </row>
    <row r="3" spans="2:8" ht="15.75" thickTop="1" x14ac:dyDescent="0.25"/>
    <row r="4" spans="2:8" ht="15.75" x14ac:dyDescent="0.25">
      <c r="B4" s="9" t="s">
        <v>190</v>
      </c>
    </row>
    <row r="5" spans="2:8" ht="24" x14ac:dyDescent="0.4">
      <c r="B5" s="26" t="s">
        <v>73</v>
      </c>
      <c r="C5" s="24"/>
      <c r="D5" s="24"/>
      <c r="E5" s="24"/>
      <c r="F5" s="24"/>
      <c r="G5" s="24"/>
      <c r="H5" s="24"/>
    </row>
    <row r="6" spans="2:8" ht="15.75" x14ac:dyDescent="0.25">
      <c r="B6" s="23" t="s">
        <v>106</v>
      </c>
      <c r="C6" s="24"/>
      <c r="D6" s="24"/>
      <c r="E6" s="24"/>
      <c r="F6" s="24"/>
      <c r="G6" s="24"/>
      <c r="H6" s="24"/>
    </row>
    <row r="7" spans="2:8" ht="15.75" x14ac:dyDescent="0.25">
      <c r="B7" s="10" t="s">
        <v>57</v>
      </c>
      <c r="C7" s="10" t="s">
        <v>58</v>
      </c>
      <c r="D7" s="10" t="s">
        <v>59</v>
      </c>
      <c r="E7" s="10" t="s">
        <v>60</v>
      </c>
      <c r="F7" s="10" t="s">
        <v>61</v>
      </c>
      <c r="G7" s="10" t="s">
        <v>62</v>
      </c>
      <c r="H7" s="10" t="s">
        <v>63</v>
      </c>
    </row>
    <row r="8" spans="2:8" x14ac:dyDescent="0.25">
      <c r="B8" s="6" t="s">
        <v>107</v>
      </c>
      <c r="C8" s="1" t="s">
        <v>107</v>
      </c>
      <c r="D8" s="1" t="s">
        <v>64</v>
      </c>
      <c r="E8" s="1" t="s">
        <v>64</v>
      </c>
      <c r="F8" s="1" t="s">
        <v>108</v>
      </c>
      <c r="G8" s="1" t="s">
        <v>108</v>
      </c>
      <c r="H8" s="1" t="s">
        <v>108</v>
      </c>
    </row>
    <row r="9" spans="2:8" ht="15.75" x14ac:dyDescent="0.25">
      <c r="B9" s="23" t="s">
        <v>109</v>
      </c>
      <c r="C9" s="24"/>
      <c r="D9" s="24"/>
      <c r="E9" s="24"/>
      <c r="F9" s="24"/>
      <c r="G9" s="24"/>
      <c r="H9" s="24"/>
    </row>
    <row r="10" spans="2:8" ht="15.75" x14ac:dyDescent="0.25">
      <c r="B10" s="11" t="s">
        <v>65</v>
      </c>
      <c r="C10" s="11" t="s">
        <v>58</v>
      </c>
      <c r="D10" s="11" t="s">
        <v>59</v>
      </c>
      <c r="E10" s="11" t="s">
        <v>60</v>
      </c>
      <c r="F10" s="11" t="s">
        <v>61</v>
      </c>
      <c r="G10" s="11" t="s">
        <v>63</v>
      </c>
      <c r="H10" s="11" t="s">
        <v>62</v>
      </c>
    </row>
    <row r="11" spans="2:8" x14ac:dyDescent="0.25">
      <c r="B11" s="6">
        <v>1</v>
      </c>
      <c r="C11" s="1" t="s">
        <v>110</v>
      </c>
      <c r="D11" s="1" t="s">
        <v>111</v>
      </c>
      <c r="E11" s="1" t="s">
        <v>112</v>
      </c>
      <c r="F11" s="1" t="s">
        <v>113</v>
      </c>
      <c r="G11" s="1" t="s">
        <v>114</v>
      </c>
      <c r="H11" s="1" t="s">
        <v>115</v>
      </c>
    </row>
    <row r="12" spans="2:8" x14ac:dyDescent="0.25">
      <c r="B12" s="6">
        <v>2</v>
      </c>
      <c r="C12" s="1" t="s">
        <v>116</v>
      </c>
      <c r="D12" s="1" t="s">
        <v>117</v>
      </c>
      <c r="E12" s="1" t="s">
        <v>118</v>
      </c>
      <c r="F12" s="1" t="s">
        <v>119</v>
      </c>
      <c r="G12" s="1" t="s">
        <v>120</v>
      </c>
      <c r="H12" s="1" t="s">
        <v>121</v>
      </c>
    </row>
    <row r="13" spans="2:8" x14ac:dyDescent="0.25">
      <c r="B13" s="6">
        <v>3</v>
      </c>
      <c r="C13" s="1" t="s">
        <v>122</v>
      </c>
      <c r="D13" s="1" t="s">
        <v>123</v>
      </c>
      <c r="E13" s="1" t="s">
        <v>124</v>
      </c>
      <c r="F13" s="1" t="s">
        <v>125</v>
      </c>
      <c r="G13" s="1" t="s">
        <v>126</v>
      </c>
      <c r="H13" s="1" t="s">
        <v>127</v>
      </c>
    </row>
    <row r="14" spans="2:8" x14ac:dyDescent="0.25">
      <c r="B14" s="6">
        <v>4</v>
      </c>
      <c r="C14" s="1" t="s">
        <v>64</v>
      </c>
      <c r="D14" s="1" t="s">
        <v>128</v>
      </c>
      <c r="E14" s="1" t="s">
        <v>129</v>
      </c>
      <c r="F14" s="1" t="s">
        <v>130</v>
      </c>
      <c r="G14" s="1" t="s">
        <v>131</v>
      </c>
      <c r="H14" s="1" t="s">
        <v>132</v>
      </c>
    </row>
    <row r="15" spans="2:8" ht="15.75" x14ac:dyDescent="0.25">
      <c r="B15" s="23" t="s">
        <v>133</v>
      </c>
      <c r="C15" s="24"/>
      <c r="D15" s="24"/>
      <c r="E15" s="24"/>
      <c r="F15" s="24"/>
      <c r="G15" s="24"/>
      <c r="H15" s="24"/>
    </row>
    <row r="16" spans="2:8" ht="15.75" x14ac:dyDescent="0.25">
      <c r="B16" s="12" t="s">
        <v>66</v>
      </c>
      <c r="C16" s="12" t="s">
        <v>58</v>
      </c>
      <c r="D16" s="12" t="s">
        <v>59</v>
      </c>
      <c r="E16" s="12" t="s">
        <v>60</v>
      </c>
      <c r="F16" s="12" t="s">
        <v>61</v>
      </c>
      <c r="G16" s="12" t="s">
        <v>63</v>
      </c>
      <c r="H16" s="12" t="s">
        <v>62</v>
      </c>
    </row>
    <row r="17" spans="2:8" x14ac:dyDescent="0.25">
      <c r="B17" s="6" t="s">
        <v>35</v>
      </c>
      <c r="C17" s="1" t="s">
        <v>134</v>
      </c>
      <c r="D17" s="1" t="s">
        <v>135</v>
      </c>
      <c r="E17" s="1" t="s">
        <v>135</v>
      </c>
      <c r="F17" s="1" t="s">
        <v>136</v>
      </c>
      <c r="G17" s="1" t="s">
        <v>137</v>
      </c>
      <c r="H17" s="1" t="s">
        <v>137</v>
      </c>
    </row>
    <row r="18" spans="2:8" x14ac:dyDescent="0.25">
      <c r="B18" s="6" t="s">
        <v>31</v>
      </c>
      <c r="C18" s="1" t="s">
        <v>138</v>
      </c>
      <c r="D18" s="1" t="s">
        <v>139</v>
      </c>
      <c r="E18" s="1" t="s">
        <v>139</v>
      </c>
      <c r="F18" s="1" t="s">
        <v>140</v>
      </c>
      <c r="G18" s="1" t="s">
        <v>141</v>
      </c>
      <c r="H18" s="1" t="s">
        <v>141</v>
      </c>
    </row>
    <row r="19" spans="2:8" x14ac:dyDescent="0.25">
      <c r="B19" s="6" t="s">
        <v>37</v>
      </c>
      <c r="C19" s="1" t="s">
        <v>142</v>
      </c>
      <c r="D19" s="1" t="s">
        <v>143</v>
      </c>
      <c r="E19" s="1" t="s">
        <v>143</v>
      </c>
      <c r="F19" s="1" t="s">
        <v>144</v>
      </c>
      <c r="G19" s="1" t="s">
        <v>145</v>
      </c>
      <c r="H19" s="1" t="s">
        <v>145</v>
      </c>
    </row>
    <row r="20" spans="2:8" x14ac:dyDescent="0.25">
      <c r="B20" s="6" t="s">
        <v>67</v>
      </c>
      <c r="C20" s="1" t="s">
        <v>138</v>
      </c>
      <c r="D20" s="1" t="s">
        <v>139</v>
      </c>
      <c r="E20" s="1" t="s">
        <v>139</v>
      </c>
      <c r="F20" s="1" t="s">
        <v>140</v>
      </c>
      <c r="G20" s="1" t="s">
        <v>141</v>
      </c>
      <c r="H20" s="1" t="s">
        <v>141</v>
      </c>
    </row>
    <row r="21" spans="2:8" x14ac:dyDescent="0.25">
      <c r="B21" s="6" t="s">
        <v>68</v>
      </c>
      <c r="C21" s="1" t="s">
        <v>134</v>
      </c>
      <c r="D21" s="1" t="s">
        <v>135</v>
      </c>
      <c r="E21" s="1" t="s">
        <v>135</v>
      </c>
      <c r="F21" s="1" t="s">
        <v>136</v>
      </c>
      <c r="G21" s="1" t="s">
        <v>137</v>
      </c>
      <c r="H21" s="1" t="s">
        <v>137</v>
      </c>
    </row>
    <row r="22" spans="2:8" x14ac:dyDescent="0.25">
      <c r="B22" s="6" t="s">
        <v>69</v>
      </c>
      <c r="C22" s="1" t="s">
        <v>134</v>
      </c>
      <c r="D22" s="1" t="s">
        <v>135</v>
      </c>
      <c r="E22" s="1" t="s">
        <v>135</v>
      </c>
      <c r="F22" s="1" t="s">
        <v>136</v>
      </c>
      <c r="G22" s="1" t="s">
        <v>137</v>
      </c>
      <c r="H22" s="1" t="s">
        <v>137</v>
      </c>
    </row>
    <row r="23" spans="2:8" x14ac:dyDescent="0.25">
      <c r="B23" s="6" t="s">
        <v>70</v>
      </c>
      <c r="C23" s="1" t="s">
        <v>138</v>
      </c>
      <c r="D23" s="1" t="s">
        <v>139</v>
      </c>
      <c r="E23" s="1" t="s">
        <v>139</v>
      </c>
      <c r="F23" s="1" t="s">
        <v>140</v>
      </c>
      <c r="G23" s="1" t="s">
        <v>141</v>
      </c>
      <c r="H23" s="1" t="s">
        <v>141</v>
      </c>
    </row>
    <row r="24" spans="2:8" ht="15.75" x14ac:dyDescent="0.25">
      <c r="B24" s="23" t="s">
        <v>146</v>
      </c>
      <c r="C24" s="24"/>
      <c r="D24" s="24"/>
      <c r="E24" s="24"/>
      <c r="F24" s="24"/>
      <c r="G24" s="24"/>
      <c r="H24" s="24"/>
    </row>
    <row r="25" spans="2:8" ht="15.75" x14ac:dyDescent="0.25">
      <c r="B25" s="13" t="s">
        <v>65</v>
      </c>
      <c r="C25" s="13" t="s">
        <v>58</v>
      </c>
      <c r="D25" s="13" t="s">
        <v>59</v>
      </c>
      <c r="E25" s="13" t="s">
        <v>60</v>
      </c>
      <c r="F25" s="13" t="s">
        <v>61</v>
      </c>
      <c r="G25" s="13" t="s">
        <v>63</v>
      </c>
      <c r="H25" s="13" t="s">
        <v>62</v>
      </c>
    </row>
    <row r="26" spans="2:8" x14ac:dyDescent="0.25">
      <c r="B26" s="6">
        <v>1</v>
      </c>
      <c r="C26" s="1" t="s">
        <v>147</v>
      </c>
      <c r="D26" s="1" t="s">
        <v>148</v>
      </c>
      <c r="E26" s="1" t="s">
        <v>149</v>
      </c>
      <c r="F26" s="1" t="s">
        <v>64</v>
      </c>
      <c r="G26" s="1" t="s">
        <v>147</v>
      </c>
      <c r="H26" s="1" t="s">
        <v>64</v>
      </c>
    </row>
    <row r="27" spans="2:8" x14ac:dyDescent="0.25">
      <c r="B27" s="6">
        <v>2</v>
      </c>
      <c r="C27" s="1" t="s">
        <v>64</v>
      </c>
      <c r="D27" s="1" t="s">
        <v>64</v>
      </c>
      <c r="E27" s="1" t="s">
        <v>64</v>
      </c>
      <c r="F27" s="1" t="s">
        <v>64</v>
      </c>
      <c r="G27" s="1" t="s">
        <v>64</v>
      </c>
      <c r="H27" s="1" t="s">
        <v>64</v>
      </c>
    </row>
    <row r="28" spans="2:8" x14ac:dyDescent="0.25">
      <c r="B28" s="6">
        <v>3</v>
      </c>
      <c r="C28" s="1" t="s">
        <v>64</v>
      </c>
      <c r="D28" s="1" t="s">
        <v>64</v>
      </c>
      <c r="E28" s="1" t="s">
        <v>64</v>
      </c>
      <c r="F28" s="1" t="s">
        <v>64</v>
      </c>
      <c r="G28" s="1" t="s">
        <v>64</v>
      </c>
      <c r="H28" s="1" t="s">
        <v>64</v>
      </c>
    </row>
    <row r="29" spans="2:8" x14ac:dyDescent="0.25">
      <c r="B29" s="6">
        <v>4</v>
      </c>
      <c r="C29" s="1" t="s">
        <v>150</v>
      </c>
      <c r="D29" s="1" t="s">
        <v>151</v>
      </c>
      <c r="E29" s="1" t="s">
        <v>152</v>
      </c>
      <c r="F29" s="1" t="s">
        <v>153</v>
      </c>
      <c r="G29" s="1" t="s">
        <v>154</v>
      </c>
      <c r="H29" s="1" t="s">
        <v>153</v>
      </c>
    </row>
    <row r="33" spans="2:8" ht="24" x14ac:dyDescent="0.4">
      <c r="B33" s="26" t="s">
        <v>74</v>
      </c>
      <c r="C33" s="24"/>
      <c r="D33" s="24"/>
      <c r="E33" s="24"/>
      <c r="F33" s="24"/>
      <c r="G33" s="24"/>
      <c r="H33" s="24"/>
    </row>
    <row r="34" spans="2:8" ht="15.75" x14ac:dyDescent="0.25">
      <c r="B34" s="23" t="s">
        <v>106</v>
      </c>
      <c r="C34" s="24"/>
      <c r="D34" s="24"/>
      <c r="E34" s="24"/>
      <c r="F34" s="24"/>
      <c r="G34" s="24"/>
      <c r="H34" s="24"/>
    </row>
    <row r="35" spans="2:8" ht="15.75" x14ac:dyDescent="0.25">
      <c r="B35" s="10" t="s">
        <v>57</v>
      </c>
      <c r="C35" s="10" t="s">
        <v>58</v>
      </c>
      <c r="D35" s="10" t="s">
        <v>59</v>
      </c>
      <c r="E35" s="10" t="s">
        <v>60</v>
      </c>
      <c r="F35" s="10" t="s">
        <v>61</v>
      </c>
      <c r="G35" s="10" t="s">
        <v>62</v>
      </c>
      <c r="H35" s="10" t="s">
        <v>63</v>
      </c>
    </row>
    <row r="36" spans="2:8" x14ac:dyDescent="0.25">
      <c r="B36" s="6" t="s">
        <v>155</v>
      </c>
      <c r="C36" s="1" t="s">
        <v>155</v>
      </c>
      <c r="D36" s="1" t="s">
        <v>156</v>
      </c>
      <c r="E36" s="1" t="s">
        <v>157</v>
      </c>
      <c r="F36" s="1">
        <v>0</v>
      </c>
      <c r="G36" s="1" t="s">
        <v>155</v>
      </c>
      <c r="H36" s="1">
        <v>0</v>
      </c>
    </row>
    <row r="37" spans="2:8" ht="15.75" x14ac:dyDescent="0.25">
      <c r="B37" s="23" t="s">
        <v>109</v>
      </c>
      <c r="C37" s="24"/>
      <c r="D37" s="24"/>
      <c r="E37" s="24"/>
      <c r="F37" s="24"/>
      <c r="G37" s="24"/>
      <c r="H37" s="24"/>
    </row>
    <row r="38" spans="2:8" ht="15.75" x14ac:dyDescent="0.25">
      <c r="B38" s="11" t="s">
        <v>65</v>
      </c>
      <c r="C38" s="11" t="s">
        <v>58</v>
      </c>
      <c r="D38" s="11" t="s">
        <v>59</v>
      </c>
      <c r="E38" s="11" t="s">
        <v>60</v>
      </c>
      <c r="F38" s="11" t="s">
        <v>61</v>
      </c>
      <c r="G38" s="11" t="s">
        <v>63</v>
      </c>
      <c r="H38" s="11" t="s">
        <v>62</v>
      </c>
    </row>
    <row r="39" spans="2:8" x14ac:dyDescent="0.25">
      <c r="B39" s="6">
        <v>1</v>
      </c>
      <c r="C39" s="1" t="s">
        <v>158</v>
      </c>
      <c r="D39" s="1" t="s">
        <v>159</v>
      </c>
      <c r="E39" s="1" t="s">
        <v>160</v>
      </c>
      <c r="F39" s="1" t="s">
        <v>64</v>
      </c>
      <c r="G39" s="1" t="s">
        <v>158</v>
      </c>
      <c r="H39" s="1" t="s">
        <v>64</v>
      </c>
    </row>
    <row r="40" spans="2:8" x14ac:dyDescent="0.25">
      <c r="B40" s="6">
        <v>2</v>
      </c>
      <c r="C40" s="1" t="s">
        <v>161</v>
      </c>
      <c r="D40" s="1" t="s">
        <v>162</v>
      </c>
      <c r="E40" s="1" t="s">
        <v>163</v>
      </c>
      <c r="F40" s="1" t="s">
        <v>64</v>
      </c>
      <c r="G40" s="1" t="s">
        <v>161</v>
      </c>
      <c r="H40" s="1" t="s">
        <v>64</v>
      </c>
    </row>
    <row r="41" spans="2:8" x14ac:dyDescent="0.25">
      <c r="B41" s="6">
        <v>3</v>
      </c>
      <c r="C41" s="1" t="s">
        <v>164</v>
      </c>
      <c r="D41" s="1" t="s">
        <v>165</v>
      </c>
      <c r="E41" s="1" t="s">
        <v>166</v>
      </c>
      <c r="F41" s="1" t="s">
        <v>64</v>
      </c>
      <c r="G41" s="1" t="s">
        <v>164</v>
      </c>
      <c r="H41" s="1" t="s">
        <v>64</v>
      </c>
    </row>
    <row r="42" spans="2:8" x14ac:dyDescent="0.25">
      <c r="B42" s="6">
        <v>4</v>
      </c>
      <c r="C42" s="1" t="s">
        <v>167</v>
      </c>
      <c r="D42" s="1" t="s">
        <v>168</v>
      </c>
      <c r="E42" s="1" t="s">
        <v>169</v>
      </c>
      <c r="F42" s="1" t="s">
        <v>64</v>
      </c>
      <c r="G42" s="1" t="s">
        <v>167</v>
      </c>
      <c r="H42" s="1" t="s">
        <v>64</v>
      </c>
    </row>
    <row r="43" spans="2:8" ht="15.75" x14ac:dyDescent="0.25">
      <c r="B43" s="23" t="s">
        <v>133</v>
      </c>
      <c r="C43" s="24"/>
      <c r="D43" s="24"/>
      <c r="E43" s="24"/>
      <c r="F43" s="24"/>
      <c r="G43" s="24"/>
      <c r="H43" s="24"/>
    </row>
    <row r="44" spans="2:8" ht="15.75" x14ac:dyDescent="0.25">
      <c r="B44" s="12" t="s">
        <v>66</v>
      </c>
      <c r="C44" s="12" t="s">
        <v>58</v>
      </c>
      <c r="D44" s="12" t="s">
        <v>59</v>
      </c>
      <c r="E44" s="12" t="s">
        <v>60</v>
      </c>
      <c r="F44" s="12" t="s">
        <v>61</v>
      </c>
      <c r="G44" s="12" t="s">
        <v>63</v>
      </c>
      <c r="H44" s="12" t="s">
        <v>62</v>
      </c>
    </row>
    <row r="45" spans="2:8" x14ac:dyDescent="0.25">
      <c r="B45" s="6" t="s">
        <v>35</v>
      </c>
      <c r="C45" s="1" t="s">
        <v>170</v>
      </c>
      <c r="D45" s="1" t="s">
        <v>171</v>
      </c>
      <c r="E45" s="1" t="s">
        <v>172</v>
      </c>
      <c r="F45" s="1" t="s">
        <v>64</v>
      </c>
      <c r="G45" s="1" t="s">
        <v>170</v>
      </c>
      <c r="H45" s="1" t="s">
        <v>64</v>
      </c>
    </row>
    <row r="46" spans="2:8" x14ac:dyDescent="0.25">
      <c r="B46" s="6" t="s">
        <v>31</v>
      </c>
      <c r="C46" s="1" t="s">
        <v>173</v>
      </c>
      <c r="D46" s="1" t="s">
        <v>174</v>
      </c>
      <c r="E46" s="1" t="s">
        <v>175</v>
      </c>
      <c r="F46" s="1" t="s">
        <v>64</v>
      </c>
      <c r="G46" s="1" t="s">
        <v>173</v>
      </c>
      <c r="H46" s="1" t="s">
        <v>64</v>
      </c>
    </row>
    <row r="47" spans="2:8" x14ac:dyDescent="0.25">
      <c r="B47" s="6" t="s">
        <v>37</v>
      </c>
      <c r="C47" s="1" t="s">
        <v>176</v>
      </c>
      <c r="D47" s="1" t="s">
        <v>177</v>
      </c>
      <c r="E47" s="1" t="s">
        <v>178</v>
      </c>
      <c r="F47" s="1" t="s">
        <v>64</v>
      </c>
      <c r="G47" s="1" t="s">
        <v>176</v>
      </c>
      <c r="H47" s="1" t="s">
        <v>64</v>
      </c>
    </row>
    <row r="48" spans="2:8" x14ac:dyDescent="0.25">
      <c r="B48" s="6" t="s">
        <v>67</v>
      </c>
      <c r="C48" s="1" t="s">
        <v>173</v>
      </c>
      <c r="D48" s="1" t="s">
        <v>174</v>
      </c>
      <c r="E48" s="1" t="s">
        <v>175</v>
      </c>
      <c r="F48" s="1" t="s">
        <v>64</v>
      </c>
      <c r="G48" s="1" t="s">
        <v>173</v>
      </c>
      <c r="H48" s="1" t="s">
        <v>64</v>
      </c>
    </row>
    <row r="49" spans="2:8" x14ac:dyDescent="0.25">
      <c r="B49" s="6" t="s">
        <v>68</v>
      </c>
      <c r="C49" s="1" t="s">
        <v>179</v>
      </c>
      <c r="D49" s="1" t="s">
        <v>180</v>
      </c>
      <c r="E49" s="1" t="s">
        <v>181</v>
      </c>
      <c r="F49" s="1" t="s">
        <v>64</v>
      </c>
      <c r="G49" s="1" t="s">
        <v>179</v>
      </c>
      <c r="H49" s="1" t="s">
        <v>64</v>
      </c>
    </row>
    <row r="50" spans="2:8" x14ac:dyDescent="0.25">
      <c r="B50" s="6" t="s">
        <v>69</v>
      </c>
      <c r="C50" s="1" t="s">
        <v>170</v>
      </c>
      <c r="D50" s="1" t="s">
        <v>171</v>
      </c>
      <c r="E50" s="1" t="s">
        <v>172</v>
      </c>
      <c r="F50" s="1" t="s">
        <v>64</v>
      </c>
      <c r="G50" s="1" t="s">
        <v>170</v>
      </c>
      <c r="H50" s="1" t="s">
        <v>64</v>
      </c>
    </row>
    <row r="51" spans="2:8" x14ac:dyDescent="0.25">
      <c r="B51" s="6" t="s">
        <v>70</v>
      </c>
      <c r="C51" s="1" t="s">
        <v>182</v>
      </c>
      <c r="D51" s="1" t="s">
        <v>183</v>
      </c>
      <c r="E51" s="1" t="s">
        <v>184</v>
      </c>
      <c r="F51" s="1" t="s">
        <v>64</v>
      </c>
      <c r="G51" s="1" t="s">
        <v>182</v>
      </c>
      <c r="H51" s="1" t="s">
        <v>64</v>
      </c>
    </row>
    <row r="52" spans="2:8" ht="15.75" x14ac:dyDescent="0.25">
      <c r="B52" s="23" t="s">
        <v>146</v>
      </c>
      <c r="C52" s="24"/>
      <c r="D52" s="24"/>
      <c r="E52" s="24"/>
      <c r="F52" s="24"/>
      <c r="G52" s="24"/>
      <c r="H52" s="24"/>
    </row>
    <row r="53" spans="2:8" ht="15.75" x14ac:dyDescent="0.25">
      <c r="B53" s="13" t="s">
        <v>65</v>
      </c>
      <c r="C53" s="13" t="s">
        <v>58</v>
      </c>
      <c r="D53" s="13" t="s">
        <v>59</v>
      </c>
      <c r="E53" s="13" t="s">
        <v>60</v>
      </c>
      <c r="F53" s="13" t="s">
        <v>61</v>
      </c>
      <c r="G53" s="13" t="s">
        <v>63</v>
      </c>
      <c r="H53" s="13" t="s">
        <v>62</v>
      </c>
    </row>
    <row r="54" spans="2:8" x14ac:dyDescent="0.25">
      <c r="B54" s="6">
        <v>1</v>
      </c>
      <c r="C54" s="1" t="s">
        <v>147</v>
      </c>
      <c r="D54" s="1" t="s">
        <v>148</v>
      </c>
      <c r="E54" s="1" t="s">
        <v>149</v>
      </c>
      <c r="F54" s="1" t="s">
        <v>64</v>
      </c>
      <c r="G54" s="1" t="s">
        <v>147</v>
      </c>
      <c r="H54" s="1" t="s">
        <v>64</v>
      </c>
    </row>
    <row r="55" spans="2:8" x14ac:dyDescent="0.25">
      <c r="B55" s="6">
        <v>2</v>
      </c>
      <c r="C55" s="1" t="s">
        <v>185</v>
      </c>
      <c r="D55" s="1" t="s">
        <v>186</v>
      </c>
      <c r="E55" s="1" t="s">
        <v>187</v>
      </c>
      <c r="F55" s="1" t="s">
        <v>64</v>
      </c>
      <c r="G55" s="1" t="s">
        <v>185</v>
      </c>
      <c r="H55" s="1" t="s">
        <v>64</v>
      </c>
    </row>
    <row r="56" spans="2:8" x14ac:dyDescent="0.25">
      <c r="B56" s="6">
        <v>3</v>
      </c>
      <c r="C56" s="1" t="s">
        <v>64</v>
      </c>
      <c r="D56" s="1" t="s">
        <v>64</v>
      </c>
      <c r="E56" s="1" t="s">
        <v>64</v>
      </c>
      <c r="F56" s="1" t="s">
        <v>64</v>
      </c>
      <c r="G56" s="1" t="s">
        <v>64</v>
      </c>
      <c r="H56" s="1" t="s">
        <v>64</v>
      </c>
    </row>
    <row r="57" spans="2:8" x14ac:dyDescent="0.25">
      <c r="B57" s="6">
        <v>4</v>
      </c>
      <c r="C57" s="1" t="s">
        <v>188</v>
      </c>
      <c r="D57" s="1" t="s">
        <v>151</v>
      </c>
      <c r="E57" s="1" t="s">
        <v>152</v>
      </c>
      <c r="F57" s="1" t="s">
        <v>64</v>
      </c>
      <c r="G57" s="1" t="s">
        <v>188</v>
      </c>
      <c r="H57" s="1" t="s">
        <v>64</v>
      </c>
    </row>
  </sheetData>
  <mergeCells count="11">
    <mergeCell ref="B33:H33"/>
    <mergeCell ref="B34:H34"/>
    <mergeCell ref="B37:H37"/>
    <mergeCell ref="B43:H43"/>
    <mergeCell ref="B52:H52"/>
    <mergeCell ref="B24:H24"/>
    <mergeCell ref="B2:H2"/>
    <mergeCell ref="B5:H5"/>
    <mergeCell ref="B6:H6"/>
    <mergeCell ref="B9:H9"/>
    <mergeCell ref="B15:H15"/>
  </mergeCells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3e7ef145-fedb-4dc8-a0fd-027ce02e5a32.png"/><Relationship Id="matriz" Type="http://schemas.openxmlformats.org/officeDocument/2006/relationships/image" Target="images/9afda0a0-d9f4-4aa7-be7c-1472e0567a7f.png"/><Relationship Id="diagrama" Type="http://schemas.openxmlformats.org/officeDocument/2006/relationships/image" Target="images/54f8c39d-3095-449b-acc9-81cbf2e5da1a.png"/><Relationship Id="barra" Type="http://schemas.openxmlformats.org/officeDocument/2006/relationships/image" Target="images/23ed3521-10fb-4877-8841-54a451a195dd.png"/><Relationship Id="limpar" Type="http://schemas.openxmlformats.org/officeDocument/2006/relationships/image" Target="images/a06555e6-1497-4f81-9807-8e0fc3a9bd55.png"/><Relationship Id="linha" Type="http://schemas.openxmlformats.org/officeDocument/2006/relationships/image" Target="images/3a731c44-3f8c-4a61-9a7f-968bda2e2c85.png"/><Relationship Id="shunt" Type="http://schemas.openxmlformats.org/officeDocument/2006/relationships/image" Target="images/ae72591f-ae95-429e-8f06-4a085d2eb2bb.png"/><Relationship Id="exportar" Type="http://schemas.openxmlformats.org/officeDocument/2006/relationships/image" Target="images/e880d42d-6bc5-48b3-b7bd-2039ff885f80.png"/><Relationship Id="transformador_3_enrolamentos" Type="http://schemas.openxmlformats.org/officeDocument/2006/relationships/image" Target="images/e1b65a92-2f31-48d6-ab26-df608e45c74a.png"/><Relationship Id="layout" Type="http://schemas.openxmlformats.org/officeDocument/2006/relationships/image" Target="images/3fa92c6c-82f8-451b-b9fb-c7583bcb3906.png"/><Relationship Id="desenvolvedor" Type="http://schemas.openxmlformats.org/officeDocument/2006/relationships/image" Target="images/641e6dfe-0d67-4e72-8064-4d50b7f2b879.png"/><Relationship Id="relatorio" Type="http://schemas.openxmlformats.org/officeDocument/2006/relationships/image" Target="images/5f883501-b311-4bc9-ab74-fc92feb00573.png"/><Relationship Id="github" Type="http://schemas.openxmlformats.org/officeDocument/2006/relationships/image" Target="images/c5d9f7cd-1c5e-4b93-a324-5fc40a4d6ebd.png"/><Relationship Id="maquina" Type="http://schemas.openxmlformats.org/officeDocument/2006/relationships/image" Target="images/781ec988-6f1a-4c3a-971d-ff2cdbc54ed5.png"/><Relationship Id="informacoes" Type="http://schemas.openxmlformats.org/officeDocument/2006/relationships/image" Target="images/89573263-e1b7-4c28-a0d4-ea28e14653d0.png"/><Relationship Id="configuracoes" Type="http://schemas.openxmlformats.org/officeDocument/2006/relationships/image" Target="images/54e84a51-2a64-404a-b379-c63885613e1b.png"/><Relationship Id="carregar" Type="http://schemas.openxmlformats.org/officeDocument/2006/relationships/image" Target="images/97780b94-7a40-4558-9128-dfb88855ead4.png"/><Relationship Id="salvar" Type="http://schemas.openxmlformats.org/officeDocument/2006/relationships/image" Target="images/ee219f1a-8105-43af-94b7-bacb7fb8fe41.png"/><Relationship Id="rodar" Type="http://schemas.openxmlformats.org/officeDocument/2006/relationships/image" Target="images/b0968a66-1bb9-4ec3-87ac-b8b29b2c7b06.png"/><Relationship Id="manual" Type="http://schemas.openxmlformats.org/officeDocument/2006/relationships/image" Target="images/c93a4a50-784c-4c78-959a-057ac51e1898.png"/><Relationship Id="anafas_" Type="http://schemas.openxmlformats.org/officeDocument/2006/relationships/image" Target="images/72cfb16c-46d7-4ea8-88c3-45bd26a62122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large" onAction="b_anafas" image="anafas_"/>
          <button id="layout" label="Gerar Layout" size="large" onAction="b_layout" image="layout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Configurações</vt:lpstr>
      <vt:lpstr>Barramentos</vt:lpstr>
      <vt:lpstr>Transformadores</vt:lpstr>
      <vt:lpstr>Linhas de Transmissão</vt:lpstr>
      <vt:lpstr>Máquinas</vt:lpstr>
      <vt:lpstr>Carga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2026-04-10T21:08:15Z</dcterms:modified>
</cp:coreProperties>
</file>
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81BF92B1-4DED-4D7E-9F49-CE5B0DD37619}" xr6:coauthVersionLast="47" xr6:coauthVersionMax="47" xr10:uidLastSave="{00000000-0000-0000-0000-000000000000}"/>
  <bookViews>
    <workbookView xWindow="-120" yWindow="-120" windowWidth="24240" windowHeight="13020" tabRatio="497" firstSheet="1" activeTab="2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M3" i="4"/>
  <c r="N3" i="4"/>
  <c r="O3" i="4"/>
  <c r="P3" i="4"/>
  <c r="E2" i="13"/>
  <c r="F2" i="13"/>
  <c r="P2" i="4" l="1"/>
  <c r="O2" i="4"/>
  <c r="N2" i="4"/>
  <c r="M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<sst xmlns="http://schemas.openxmlformats.org/spreadsheetml/2006/main" count="176" uniqueCount="104">
  <si>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</si>
  <si>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</si>
  <si>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</si>
  <si>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</si>
  <si>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</si>
  <si>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</si>
  <si>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</si>
  <si>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</si>
  <si>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</si>
  <si>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</si>
  <si>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</si>
  <si>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</si>
  <si>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</si>
  <si>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</si>
  <si>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</si>
  <si>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</si>
  <si>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</si>
  <si>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</si>
  <si>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</si>
  <si>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</si>
  <si>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</si>
  <si>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</si>
  <si>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</si>
  <si>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</si>
  <si>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</si>
  <si>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</si>
  <si>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</si>
  <si>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</si>
  <si>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</si>
  <si>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</si>
  <si>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</si>
  <si>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</si>
  <si>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</si>
  <si>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</si>
  <si>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</si>
  <si>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</si>
  <si>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</si>
  <si>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</si>
  <si>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</si>
  <si>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</si>
  <si>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</si>
  <si>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</si>
  <si>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</si>
  <si>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</si>
  <si>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</si>
  <si>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</si>
  <si>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</si>
  <si>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</si>
  <si>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</si>
  <si>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</si>
  <si>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</si>
  <si>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</si>
  <si>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</si>
  <si>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</si>
  <si>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</si>
  <si>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</si>
  <si>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</si>
  <si>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</si>
  <si>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</si>
  <si>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</si>
  <si>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</si>
  <si>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</si>
  <si>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</si>
  <si>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</si>
  <si>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</si>
  <si>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</si>
  <si>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</si>
  <si>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</si>
  <si>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</si>
  <si>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</si>
  <si>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</si>
  <si>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</si>
  <si>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</si>
  <si>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</si>
  <si>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</si>
  <si>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</si>
  <si>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</si>
  <si>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</si>
  <si>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</si>
  <si>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</si>
  <si>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</si>
  <si>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</si>
  <si>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</si>
  <si>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</si>
  <si>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</si>
  <si>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</si>
  <si>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</si>
  <si>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IEEE 4 Barras</t>
  </si>
  <si>
    <t>0.0000-30.0000j</t>
  </si>
  <si>
    <t>9)</t>
  </si>
  <si>
    <t>Remover colunas nans de todas as tabelas, podem ocasionar erros...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</si>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</sst>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/>
  </cellXfs>
  <cellStyles count="1">
    <cellStyle name="Normal" xfId="0" builtinId="0"/>
  </cellStyles>
  <dxfs count="81"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80" dataDxfId="79">
  <autoFilter ref="A1:F2" xr:uid="{193FD222-520A-4DD8-BE18-987EE612A9D0}"/>
  <tableColumns count="6">
    <tableColumn id="3" xr3:uid="{CA127CF5-E49A-4A9B-B187-4761AA1A79D7}" name="Tipo de Curto Circuito" dataDxfId="78"/>
    <tableColumn id="4" xr3:uid="{88F28AA7-C36A-4434-AD6B-50BE92E74F4D}" name="Barra de Ocorrência" dataDxfId="77"/>
    <tableColumn id="1" xr3:uid="{F4241A51-9F4A-4C52-8A84-2A790858DBF2}" name="Resistência de Falta (Ω)" dataDxfId="76"/>
    <tableColumn id="5" xr3:uid="{27F9348A-202C-4C0A-A004-3C442352EC0A}" name="Reatância de Falta (Ω)" dataDxfId="75"/>
    <tableColumn id="6" xr3:uid="{1BF22A3B-7D9D-4AC4-95DB-628DCE968BE5}" name="Resistência de Falta (pu)" dataDxfId="74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73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72">
  <autoFilter ref="A1:C5" xr:uid="{185A231E-D573-421A-8DE0-86DC8EC5B091}"/>
  <tableColumns count="3">
    <tableColumn id="1" xr3:uid="{8EBD12C1-4E78-43A6-AE95-30F1337B03D1}" name="Nome" dataDxfId="71"/>
    <tableColumn id="2" xr3:uid="{CFD29857-E1CA-4766-A849-933A0A451513}" name="Número" dataDxfId="70"/>
    <tableColumn id="3" xr3:uid="{B100B757-52E1-499F-9BC6-78F92CB8E714}" name="Tensão (kV)" dataDxfId="6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P3" totalsRowShown="0" dataDxfId="68">
  <autoFilter ref="A1:P3" xr:uid="{A4AC50ED-6DE4-4C38-93EE-BDF3497EA246}"/>
  <tableColumns count="16">
    <tableColumn id="1" xr3:uid="{39101201-31D4-4805-BA09-578CF4254661}" name="Nome" dataDxfId="67"/>
    <tableColumn id="2" xr3:uid="{82F12B74-9B8E-4129-9D60-29194591E977}" name="Potência Nominal (MVA)" dataDxfId="66"/>
    <tableColumn id="3" xr3:uid="{3676778F-0DD3-4FF1-ABF3-91F631C97AB9}" name="Barra de" dataDxfId="65"/>
    <tableColumn id="4" xr3:uid="{85CA93BC-10AF-4454-9E5C-AB0AA858497E}" name="Tensão Primário (kV)" dataDxfId="64"/>
    <tableColumn id="5" xr3:uid="{F6BF0648-8461-4D3C-BAF8-B44FF50EBC42}" name="Barra para" dataDxfId="63"/>
    <tableColumn id="6" xr3:uid="{788BEFB8-3595-4644-A922-A3C31BA8827C}" name="Tensão Secundário (kV)" dataDxfId="62"/>
    <tableColumn id="7" xr3:uid="{B0A73F71-8999-46E8-8E3D-7A74ED6AD1DE}" name="X1 (%)" dataDxfId="61"/>
    <tableColumn id="8" xr3:uid="{683A169E-13B2-47A8-905B-31A9A7946BFF}" name="X0 (%)" dataDxfId="60"/>
    <tableColumn id="9" xr3:uid="{0CED62B1-AB9E-472F-B905-855FCDDA5621}" name="XN P (%)" dataDxfId="59"/>
    <tableColumn id="10" xr3:uid="{5A25097B-1431-4425-93D5-7DA14A630D4D}" name="XN S (%)" dataDxfId="58"/>
    <tableColumn id="11" xr3:uid="{17BC764E-AC0C-41D2-A895-E25CF32BD66D}" name="Tipo de Conexão" dataDxfId="57"/>
    <tableColumn id="16" xr3:uid="{C26B22AC-395A-4831-B51C-EDF601536FBA}" name="Defasagem (°)" dataDxfId="0"/>
    <tableColumn id="12" xr3:uid="{946F0932-D26E-4D0F-89EC-C2C6C61F8B7C}" name="X1 (pu) Base" dataDxfId="56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5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4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3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52">
  <autoFilter ref="A1:M2" xr:uid="{4C6B18B1-E121-4D7E-AA00-B30E64F151BF}"/>
  <tableColumns count="13">
    <tableColumn id="1" xr3:uid="{30120507-59B7-4E39-9736-DD004A4CF5CB}" name="Nome" dataDxfId="51"/>
    <tableColumn id="2" xr3:uid="{AB8230B4-9A4A-44EF-BB87-C4CACBD18C5F}" name="Barra de" dataDxfId="50"/>
    <tableColumn id="3" xr3:uid="{B4EB3D4B-781C-4650-BEEA-30E6D7A81A35}" name="Barra para" dataDxfId="49"/>
    <tableColumn id="4" xr3:uid="{330EF97A-C5A9-4C11-9A8E-CE8C64A31B98}" name="Tensão (kV)" dataDxfId="48"/>
    <tableColumn id="5" xr3:uid="{E8D819A1-6394-472E-9E16-3B2EA093E29D}" name="Potência Nominal (MVA)" dataDxfId="47"/>
    <tableColumn id="6" xr3:uid="{F11529B5-BE00-42BC-890E-64E0E6AFF6F1}" name="R1 (%)" dataDxfId="46"/>
    <tableColumn id="7" xr3:uid="{CFED6F8E-5D17-4662-ACC5-C3E2ABE880FB}" name="R0 (%)" dataDxfId="45"/>
    <tableColumn id="8" xr3:uid="{7430D406-FE3E-4B08-BB6D-3A8D932E918D}" name="X1 (%)" dataDxfId="44"/>
    <tableColumn id="9" xr3:uid="{94284ABF-4FFF-4BE1-B200-614B09A8B34C}" name="X0 (%)" dataDxfId="43"/>
    <tableColumn id="10" xr3:uid="{C5D7E913-E161-4147-8CA6-551A69411E75}" name="R1 (pu) Base" dataDxfId="42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41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40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9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8">
  <autoFilter ref="A1:R3" xr:uid="{B599559C-32F1-4236-AECA-7D9877860AA5}"/>
  <tableColumns count="18">
    <tableColumn id="1" xr3:uid="{37D2B7CF-5760-4FE5-B9E3-B0DCD2A26D81}" name="Nome" dataDxfId="37"/>
    <tableColumn id="2" xr3:uid="{DDB0FCF3-D10E-454C-83FE-382C8D19A917}" name="Tipo de Máquina" dataDxfId="36"/>
    <tableColumn id="3" xr3:uid="{41B724F9-FA51-4405-81DF-58B3AE9B4DBC}" name="Barra Conectada" dataDxfId="35"/>
    <tableColumn id="4" xr3:uid="{6B3CE436-99E4-492E-85DA-15FB0B060EDA}" name="Potência Nominal (MVA)" dataDxfId="34"/>
    <tableColumn id="5" xr3:uid="{E5D2863F-65FE-4C5B-A9EB-346763EA179D}" name="Tensão (kV)" dataDxfId="33"/>
    <tableColumn id="6" xr3:uid="{68B25089-7F4B-4E85-8AAE-DE5FA47E5B93}" name="R1 (%)" dataDxfId="32"/>
    <tableColumn id="7" xr3:uid="{D4859BAA-B7F8-4C05-B645-D585A105F903}" name="R0 (%)" dataDxfId="31"/>
    <tableColumn id="17" xr3:uid="{409E9AB5-8B08-48E6-A7A0-793C14053FCE}" name="RN (%)" dataDxfId="30"/>
    <tableColumn id="8" xr3:uid="{BBBE4417-080E-4E8B-BC6C-05E4524DE3F5}" name="X1 (%)" dataDxfId="29"/>
    <tableColumn id="9" xr3:uid="{05140983-8FCC-4839-B46F-8E7004364620}" name="X0 (%)" dataDxfId="28"/>
    <tableColumn id="10" xr3:uid="{BF9AB535-205A-4F79-84D5-5550453715EF}" name="XN (%)" dataDxfId="27"/>
    <tableColumn id="11" xr3:uid="{3102012A-28C3-429F-ABCF-987A3E858B48}" name="Tipo de Conexão" dataDxfId="26"/>
    <tableColumn id="12" xr3:uid="{E1B4EC4F-7076-41FF-BCB0-E7F6CF0E98EF}" name="R1 (pu) Base" dataDxfId="25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24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23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22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21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20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9">
  <autoFilter ref="A1:L2" xr:uid="{A5F92FF0-A218-472D-B9E3-FC6DA3123327}"/>
  <tableColumns count="12">
    <tableColumn id="1" xr3:uid="{910FA3BB-C4BB-4AC3-AF9E-D80012ED1C16}" name="Nome" dataDxfId="18"/>
    <tableColumn id="2" xr3:uid="{F4DC6F70-034F-4E4F-BC64-1BAA423C9AB6}" name="Barra Conectada" dataDxfId="17"/>
    <tableColumn id="3" xr3:uid="{16DC17B3-2908-4BE5-AD8D-A0BE9806AD93}" name="Tensão (kV)" dataDxfId="16"/>
    <tableColumn id="4" xr3:uid="{4208AB9B-5640-49E2-9518-C539EBBA5291}" name="Potência Ativa (MW)" dataDxfId="15"/>
    <tableColumn id="5" xr3:uid="{471FEBBB-894E-44C5-8AF7-578155197899}" name="Potência Reativa (MVAr)" dataDxfId="14"/>
    <tableColumn id="9" xr3:uid="{406B6459-142D-4994-AB85-BA63DACB76A0}" name="RN (%)" dataDxfId="13"/>
    <tableColumn id="10" xr3:uid="{1D9D8C90-6B2F-4244-B02F-C6CE87681896}" name="XN (%)" dataDxfId="12"/>
    <tableColumn id="6" xr3:uid="{3161E565-B978-4834-B215-F8B8B19F1373}" name="Tipo de Conexão" dataDxfId="11"/>
    <tableColumn id="7" xr3:uid="{0BD04F28-6FD5-49ED-863C-5834525FEF1B}" name="R1 (pu) Base" dataDxfId="10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9"/>
    <tableColumn id="8" xr3:uid="{B18D7132-5687-4BD9-BD13-AC795EE47DE9}" name="X1 (pu) Base" dataDxfId="8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7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N3" sqref="N3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87</v>
      </c>
    </row>
    <row r="3" spans="1:1" x14ac:dyDescent="0.25">
      <c r="A3" t="s">
        <v>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12"/>
  <sheetViews>
    <sheetView tabSelected="1" workbookViewId="0">
      <selection activeCell="H19" sqref="H19"/>
    </sheetView>
  </sheetViews>
  <sheetFormatPr defaultRowHeight="15" x14ac:dyDescent="0.25"/>
  <sheetData>
    <row r="1" spans="1:7" x14ac:dyDescent="0.25">
      <c r="A1" t="s">
        <v>42</v>
      </c>
      <c r="B1" t="s">
        <v>41</v>
      </c>
    </row>
    <row r="2" spans="1:7" s="11" customFormat="1" x14ac:dyDescent="0.25">
      <c r="A2" s="11" t="s">
        <v>43</v>
      </c>
      <c r="B2" s="11" t="s">
        <v>44</v>
      </c>
    </row>
    <row r="3" spans="1:7" s="11" customFormat="1" x14ac:dyDescent="0.25">
      <c r="A3" s="11" t="s">
        <v>45</v>
      </c>
      <c r="B3" s="11" t="s">
        <v>46</v>
      </c>
    </row>
    <row r="4" spans="1:7" x14ac:dyDescent="0.25">
      <c r="A4" t="s">
        <v>47</v>
      </c>
      <c r="B4" t="s">
        <v>48</v>
      </c>
    </row>
    <row r="5" spans="1:7" s="11" customFormat="1" x14ac:dyDescent="0.25">
      <c r="A5" s="11" t="s">
        <v>49</v>
      </c>
      <c r="B5" s="11" t="s">
        <v>50</v>
      </c>
    </row>
    <row r="6" spans="1:7" s="11" customFormat="1" x14ac:dyDescent="0.25">
      <c r="A6" s="11" t="s">
        <v>51</v>
      </c>
      <c r="B6" s="11" t="s">
        <v>52</v>
      </c>
    </row>
    <row r="7" spans="1:7" x14ac:dyDescent="0.25">
      <c r="A7" t="s">
        <v>53</v>
      </c>
      <c r="B7" t="s">
        <v>103</v>
      </c>
    </row>
    <row r="8" spans="1:7" x14ac:dyDescent="0.25">
      <c r="A8" t="s">
        <v>54</v>
      </c>
      <c r="B8" t="s">
        <v>55</v>
      </c>
    </row>
    <row r="9" spans="1:7" x14ac:dyDescent="0.25">
      <c r="A9" t="s">
        <v>56</v>
      </c>
      <c r="B9" t="s">
        <v>57</v>
      </c>
      <c r="G9" t="s">
        <v>95</v>
      </c>
    </row>
    <row r="10" spans="1:7" x14ac:dyDescent="0.25">
      <c r="A10" t="s">
        <v>58</v>
      </c>
      <c r="B10" t="s">
        <v>59</v>
      </c>
    </row>
    <row r="11" spans="1:7" x14ac:dyDescent="0.25">
      <c r="A11" t="s">
        <v>62</v>
      </c>
      <c r="B11" t="s">
        <v>63</v>
      </c>
    </row>
    <row r="12" spans="1:7" x14ac:dyDescent="0.25">
      <c r="A12" t="s">
        <v>89</v>
      </c>
      <c r="B12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workbookViewId="0">
      <selection activeCell="B2" sqref="B2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91</v>
      </c>
      <c r="D1" s="1" t="s">
        <v>92</v>
      </c>
      <c r="E1" s="1" t="s">
        <v>94</v>
      </c>
      <c r="F1" s="1" t="s">
        <v>93</v>
      </c>
      <c r="H1" s="5" t="s">
        <v>35</v>
      </c>
      <c r="I1" s="6">
        <v>100</v>
      </c>
    </row>
    <row r="2" spans="1:9" x14ac:dyDescent="0.25">
      <c r="A2" s="1" t="s">
        <v>65</v>
      </c>
      <c r="B2" s="10">
        <v>4</v>
      </c>
      <c r="C2" s="1">
        <v>0</v>
      </c>
      <c r="D2" s="1">
        <v>0</v>
      </c>
      <c r="E2" s="2">
        <f>Configurações[[#This Row],[Resistência de Falta (Ω)]] /
(
POWER(
_xlfn.XLOOKUP(Configurações[[#This Row],[Barra de Ocorrência]],Barramentos[Número],Barramentos[Tensão (kV)],"-",0),
2
)
/Potencia_Base
)</f>
        <v>0</v>
      </c>
      <c r="F2" s="2">
        <f>Configurações[[#This Row],[Reatância de Falta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N20" sqref="N20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0">
        <v>1</v>
      </c>
      <c r="C2" s="3">
        <v>15</v>
      </c>
    </row>
    <row r="3" spans="1:3" x14ac:dyDescent="0.25">
      <c r="A3" s="1" t="s">
        <v>25</v>
      </c>
      <c r="B3" s="10">
        <v>2</v>
      </c>
      <c r="C3" s="3">
        <v>345</v>
      </c>
    </row>
    <row r="4" spans="1:3" x14ac:dyDescent="0.25">
      <c r="A4" s="1" t="s">
        <v>29</v>
      </c>
      <c r="B4" s="10">
        <v>3</v>
      </c>
      <c r="C4" s="3">
        <v>345</v>
      </c>
    </row>
    <row r="5" spans="1:3" x14ac:dyDescent="0.25">
      <c r="A5" s="1" t="s">
        <v>30</v>
      </c>
      <c r="B5" s="10">
        <v>4</v>
      </c>
      <c r="C5" s="3">
        <v>15</v>
      </c>
    </row>
  </sheetData>
  <conditionalFormatting sqref="A2:B5">
    <cfRule type="duplicateValues" dxfId="6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P3"/>
  <sheetViews>
    <sheetView showGridLines="0" workbookViewId="0">
      <selection activeCell="K2" sqref="K2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2" width="17.5703125" customWidth="1"/>
    <col min="13" max="14" width="14.140625" customWidth="1"/>
    <col min="15" max="15" width="16.140625" customWidth="1"/>
    <col min="16" max="16" width="16" customWidth="1"/>
  </cols>
  <sheetData>
    <row r="1" spans="1:16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96</v>
      </c>
      <c r="M1" t="s">
        <v>12</v>
      </c>
      <c r="N1" t="s">
        <v>13</v>
      </c>
      <c r="O1" t="s">
        <v>19</v>
      </c>
      <c r="P1" t="s">
        <v>20</v>
      </c>
    </row>
    <row r="2" spans="1:16" s="1" customFormat="1" x14ac:dyDescent="0.25">
      <c r="A2" s="1" t="s">
        <v>39</v>
      </c>
      <c r="B2" s="1">
        <v>175</v>
      </c>
      <c r="C2" s="10">
        <v>1</v>
      </c>
      <c r="D2" s="1">
        <v>15</v>
      </c>
      <c r="E2" s="10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97</v>
      </c>
      <c r="L2" s="1">
        <v>-30</v>
      </c>
      <c r="M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O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P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6" x14ac:dyDescent="0.25">
      <c r="A3" s="1" t="s">
        <v>40</v>
      </c>
      <c r="B3" s="1">
        <v>175</v>
      </c>
      <c r="C3" s="10">
        <v>3</v>
      </c>
      <c r="D3" s="1">
        <v>345</v>
      </c>
      <c r="E3" s="10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86</v>
      </c>
      <c r="L3" s="1">
        <v>0</v>
      </c>
      <c r="M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O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P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5" priority="16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  <dataValidation type="decimal" allowBlank="1" showInputMessage="1" showErrorMessage="1" sqref="L2:L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workbookViewId="0">
      <selection activeCell="D19" sqref="D19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0">
        <v>2</v>
      </c>
      <c r="C2" s="10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4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C1" workbookViewId="0">
      <selection activeCell="C2" sqref="C2:C3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60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61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0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37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38</v>
      </c>
      <c r="B3" s="1" t="s">
        <v>32</v>
      </c>
      <c r="C3" s="10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37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3" priority="11"/>
    <cfRule type="duplicateValues" dxfId="2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I16" sqref="I16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60</v>
      </c>
      <c r="G1" t="s">
        <v>23</v>
      </c>
      <c r="H1" t="s">
        <v>18</v>
      </c>
      <c r="I1" t="s">
        <v>10</v>
      </c>
      <c r="J1" t="s">
        <v>61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O3" sqref="O3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66</v>
      </c>
      <c r="C2" t="s">
        <v>67</v>
      </c>
      <c r="D2" t="s">
        <v>68</v>
      </c>
      <c r="E2" t="s">
        <v>68</v>
      </c>
    </row>
    <row r="3" spans="1:5" x14ac:dyDescent="0.25">
      <c r="A3" s="8">
        <v>2</v>
      </c>
      <c r="B3" t="s">
        <v>67</v>
      </c>
      <c r="C3" t="s">
        <v>69</v>
      </c>
      <c r="D3" t="s">
        <v>70</v>
      </c>
      <c r="E3" t="s">
        <v>68</v>
      </c>
    </row>
    <row r="4" spans="1:5" x14ac:dyDescent="0.25">
      <c r="A4" s="8">
        <v>3</v>
      </c>
      <c r="B4" t="s">
        <v>68</v>
      </c>
      <c r="C4" t="s">
        <v>70</v>
      </c>
      <c r="D4" t="s">
        <v>71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73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K6" sqref="K6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74</v>
      </c>
      <c r="C2" t="s">
        <v>75</v>
      </c>
      <c r="D2" t="s">
        <v>76</v>
      </c>
      <c r="E2" t="s">
        <v>77</v>
      </c>
    </row>
    <row r="3" spans="1:5" x14ac:dyDescent="0.25">
      <c r="A3" s="8">
        <v>2</v>
      </c>
      <c r="B3" t="s">
        <v>75</v>
      </c>
      <c r="C3" t="s">
        <v>78</v>
      </c>
      <c r="D3" t="s">
        <v>79</v>
      </c>
      <c r="E3" t="s">
        <v>80</v>
      </c>
    </row>
    <row r="4" spans="1:5" x14ac:dyDescent="0.25">
      <c r="A4" s="8">
        <v>3</v>
      </c>
      <c r="B4" t="s">
        <v>76</v>
      </c>
      <c r="C4" t="s">
        <v>79</v>
      </c>
      <c r="D4" t="s">
        <v>81</v>
      </c>
      <c r="E4" t="s">
        <v>82</v>
      </c>
    </row>
    <row r="5" spans="1:5" x14ac:dyDescent="0.25">
      <c r="A5" s="8">
        <v>4</v>
      </c>
      <c r="B5" t="s">
        <v>77</v>
      </c>
      <c r="C5" t="s">
        <v>80</v>
      </c>
      <c r="D5" t="s">
        <v>82</v>
      </c>
      <c r="E5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85546875" bestFit="1" customWidth="1"/>
    <col min="4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69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98</v>
      </c>
      <c r="D3" t="s">
        <v>84</v>
      </c>
      <c r="E3" t="s">
        <v>68</v>
      </c>
    </row>
    <row r="4" spans="1:5" x14ac:dyDescent="0.25">
      <c r="A4" s="8">
        <v>3</v>
      </c>
      <c r="B4" t="s">
        <v>68</v>
      </c>
      <c r="C4" t="s">
        <v>84</v>
      </c>
      <c r="D4" t="s">
        <v>88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85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99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100</v>
      </c>
      <c r="D3" t="s">
        <v>101</v>
      </c>
      <c r="E3" t="s">
        <v>102</v>
      </c>
    </row>
    <row r="4" spans="1:5" x14ac:dyDescent="0.25">
      <c r="A4" s="8">
        <v>3</v>
      </c>
      <c r="B4" t="s">
        <v>68</v>
      </c>
      <c r="C4" t="s">
        <v>101</v>
      </c>
      <c r="D4" t="s">
        <v>101</v>
      </c>
      <c r="E4" t="s">
        <v>102</v>
      </c>
    </row>
    <row r="5" spans="1:5" x14ac:dyDescent="0.25">
      <c r="A5" s="8">
        <v>4</v>
      </c>
      <c r="B5" t="s">
        <v>68</v>
      </c>
      <c r="C5" t="s">
        <v>102</v>
      </c>
      <c r="D5" t="s">
        <v>102</v>
      </c>
      <c r="E5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2026-03-26T14:00:37Z</dcterms:modified>
</cp:coreProperties>
</file>
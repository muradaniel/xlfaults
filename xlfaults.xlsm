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476070F7-EE57-410C-BC30-356137BE73DB}" xr6:coauthVersionLast="47" xr6:coauthVersionMax="47" xr10:uidLastSave="{00000000-0000-0000-0000-000000000000}"/>
  <bookViews>
    <workbookView xWindow="-120" yWindow="-120" windowWidth="38640" windowHeight="15720" tabRatio="497" firstSheet="1" activeTab="10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3" l="1"/>
  <c r="I3" i="13"/>
  <c r="I4" i="13"/>
  <c r="D2" i="3"/>
  <c r="D3" i="3"/>
  <c r="D4" i="3"/>
  <c r="D5" i="3"/>
  <c r="Y2" i="4"/>
  <c r="Y3" i="4"/>
  <c r="N2" i="5"/>
  <c r="S2" i="6"/>
  <c r="S3" i="6"/>
  <c r="G2" i="7"/>
  <c r="F2" i="7"/>
  <c r="H2" i="7" s="1"/>
  <c r="T2" i="4"/>
  <c r="T3" i="4"/>
  <c r="S2" i="4"/>
  <c r="S3" i="4"/>
  <c r="R2" i="4"/>
  <c r="R3" i="4"/>
  <c r="Q2" i="4"/>
  <c r="Q3" i="4"/>
  <c r="G4" i="13"/>
  <c r="H4" i="13"/>
  <c r="G3" i="13"/>
  <c r="H3" i="13"/>
  <c r="O2" i="6"/>
  <c r="O3" i="6"/>
  <c r="U3" i="4"/>
  <c r="V3" i="4"/>
  <c r="W3" i="4"/>
  <c r="X3" i="4"/>
  <c r="G2" i="13"/>
  <c r="H2" i="13"/>
  <c r="X2" i="4" l="1"/>
  <c r="W2" i="4"/>
  <c r="V2" i="4"/>
  <c r="U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<sst xmlns="http://schemas.openxmlformats.org/spreadsheetml/2006/main" count="196" uniqueCount="120">
  <si>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</si>
  <si>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</si>
  <si>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</si>
  <si>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</si>
  <si>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</si>
  <si>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</si>
  <si>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</si>
  <si>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</si>
  <si>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</si>
  <si>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</si>
  <si>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</si>
  <si>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</si>
  <si>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</si>
  <si>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</si>
  <si>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</si>
  <si>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</si>
  <si>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</si>
  <si>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</si>
  <si>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</si>
  <si>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</si>
  <si>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</si>
  <si>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</si>
  <si>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</si>
  <si>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</si>
  <si>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</si>
  <si>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</si>
  <si>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</si>
  <si>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</si>
  <si>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</si>
  <si>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</si>
  <si>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</si>
  <si>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</si>
  <si>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</si>
  <si>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</si>
  <si>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</si>
  <si>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</si>
  <si>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</si>
  <si>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</si>
  <si>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</si>
  <si>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</si>
  <si>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</si>
  <si>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</si>
  <si>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</si>
  <si>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</si>
  <si>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</si>
  <si>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</si>
  <si>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</si>
  <si>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</si>
  <si>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</si>
  <si>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</si>
  <si>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</si>
  <si>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</si>
  <si>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</si>
  <si>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</si>
  <si>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</si>
  <si>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</si>
  <si>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</si>
  <si>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</si>
  <si>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</si>
  <si>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</si>
  <si>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</si>
  <si>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</si>
  <si>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</si>
  <si>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</si>
  <si>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</si>
  <si>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</si>
  <si>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</si>
  <si>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</si>
  <si>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</si>
  <si>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</si>
  <si>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</si>
  <si>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</si>
  <si>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</si>
  <si>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</si>
  <si>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</si>
  <si>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</si>
  <si>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</si>
  <si>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</si>
  <si>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</si>
  <si>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</si>
  <si>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</si>
  <si>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</si>
  <si>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</si>
  <si>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</si>
  <si>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</si>
  <si>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</si>
  <si>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</si>
  <si>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</si>
  <si>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</si>
  <si>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</si>
  <si>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</si>
  <si>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</si>
  <si>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</si>
  <si>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</si>
  <si>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</si>
  <si>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</si>
  <si>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</si>
  <si>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</si>
  <si>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</si>
  <si>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</si>
  <si>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</si>
  <si>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</si>
  <si>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Trifásico</t>
  </si>
  <si>
    <t>10)</t>
  </si>
  <si>
    <t>Exportar valors de curto, verificar fasor )&lt;0°</t>
  </si>
  <si>
    <t>Remover linhas nans de todas as tabelas, podem ocasionar erros...</t>
  </si>
  <si>
    <t>IEEE 4 Barras teste 2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</si>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</sst>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4" insertRowShift="1" totalsRowShown="0" headerRowDxfId="121" dataDxfId="120">
  <autoFilter ref="A1:I4" xr:uid="{193FD222-520A-4DD8-BE18-987EE612A9D0}"/>
  <tableColumns count="9">
    <tableColumn id="3" xr3:uid="{CA127CF5-E49A-4A9B-B187-4761AA1A79D7}" name="Tipo de Curto Circuito" dataDxfId="119"/>
    <tableColumn id="4" xr3:uid="{88F28AA7-C36A-4434-AD6B-50BE92E74F4D}" name="Barra de Ocorrência" dataDxfId="118"/>
    <tableColumn id="1" xr3:uid="{F4241A51-9F4A-4C52-8A84-2A790858DBF2}" name="Resistência de Falta (Ω)" dataDxfId="117"/>
    <tableColumn id="5" xr3:uid="{27F9348A-202C-4C0A-A004-3C442352EC0A}" name="Reatância de Falta (Ω)" dataDxfId="116"/>
    <tableColumn id="7" xr3:uid="{4EDE8271-7299-42E4-8C91-5F8E909EDF0D}" name="Módulo Tensão Pré-Falta (pu)" dataDxfId="115"/>
    <tableColumn id="8" xr3:uid="{F28A6798-519F-471F-90C9-C4B09058FAAC}" name="Ângulo Tensão Pré-Falta (graus)" dataDxfId="114"/>
    <tableColumn id="6" xr3:uid="{1BF22A3B-7D9D-4AC4-95DB-628DCE968BE5}" name="Resistência de Falta (pu)" dataDxfId="113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112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  <tableColumn id="9" xr3:uid="{1AB1BCD0-DB2C-4DFA-AECC-9FE4FB916AB2}" name="Status" dataDxfId="18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111">
  <autoFilter ref="A1:D5" xr:uid="{185A231E-D573-421A-8DE0-86DC8EC5B091}"/>
  <tableColumns count="4">
    <tableColumn id="1" xr3:uid="{8EBD12C1-4E78-43A6-AE95-30F1337B03D1}" name="Nome" dataDxfId="110"/>
    <tableColumn id="2" xr3:uid="{CFD29857-E1CA-4766-A849-933A0A451513}" name="Número" dataDxfId="109"/>
    <tableColumn id="3" xr3:uid="{B100B757-52E1-499F-9BC6-78F92CB8E714}" name="Tensão (kV)" dataDxfId="108"/>
    <tableColumn id="4" xr3:uid="{45DAEBD0-AEA5-404D-83FA-86673FA4DA4E}" name="Status" dataDxfId="19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107">
  <autoFilter ref="A1:Y3" xr:uid="{A4AC50ED-6DE4-4C38-93EE-BDF3497EA246}"/>
  <tableColumns count="25">
    <tableColumn id="1" xr3:uid="{39101201-31D4-4805-BA09-578CF4254661}" name="Nome" dataDxfId="106"/>
    <tableColumn id="2" xr3:uid="{82F12B74-9B8E-4129-9D60-29194591E977}" name="Potência Nominal (MVA)" dataDxfId="105"/>
    <tableColumn id="3" xr3:uid="{3676778F-0DD3-4FF1-ABF3-91F631C97AB9}" name="Barra de" dataDxfId="104"/>
    <tableColumn id="4" xr3:uid="{85CA93BC-10AF-4454-9E5C-AB0AA858497E}" name="Tensão Primário (kV)" dataDxfId="103"/>
    <tableColumn id="5" xr3:uid="{F6BF0648-8461-4D3C-BAF8-B44FF50EBC42}" name="Barra para" dataDxfId="102"/>
    <tableColumn id="6" xr3:uid="{788BEFB8-3595-4644-A922-A3C31BA8827C}" name="Tensão Secundário (kV)" dataDxfId="101"/>
    <tableColumn id="17" xr3:uid="{643462F2-B827-4D92-BB8D-B63F2A8B46DE}" name="R1 (%)" dataDxfId="100"/>
    <tableColumn id="18" xr3:uid="{978EA81F-1DF1-4135-9DED-967EDBEF3113}" name="R0 (%)" dataDxfId="99"/>
    <tableColumn id="19" xr3:uid="{7114C9F7-2A77-4742-998E-9665ED40D853}" name="RN P (%)" dataDxfId="98"/>
    <tableColumn id="20" xr3:uid="{E2838565-8CDC-4D7D-9D23-62F5CCD93DBC}" name="RN S (%)" dataDxfId="97"/>
    <tableColumn id="7" xr3:uid="{B0A73F71-8999-46E8-8E3D-7A74ED6AD1DE}" name="X1 (%)" dataDxfId="96"/>
    <tableColumn id="8" xr3:uid="{683A169E-13B2-47A8-905B-31A9A7946BFF}" name="X0 (%)" dataDxfId="95"/>
    <tableColumn id="9" xr3:uid="{0CED62B1-AB9E-472F-B905-855FCDDA5621}" name="XN P (%)" dataDxfId="94"/>
    <tableColumn id="10" xr3:uid="{5A25097B-1431-4425-93D5-7DA14A630D4D}" name="XN S (%)" dataDxfId="93"/>
    <tableColumn id="11" xr3:uid="{17BC764E-AC0C-41D2-A895-E25CF32BD66D}" name="Tipo de Conexão" dataDxfId="92"/>
    <tableColumn id="16" xr3:uid="{C26B22AC-395A-4831-B51C-EDF601536FBA}" name="Defasagem (°)" dataDxfId="91"/>
    <tableColumn id="21" xr3:uid="{E121F7A3-274E-4A17-BA4E-674BD1AB4224}" name="R1 (pu) Base" dataDxfId="90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89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88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87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8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8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8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8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20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82">
  <autoFilter ref="A1:N2" xr:uid="{4C6B18B1-E121-4D7E-AA00-B30E64F151BF}"/>
  <tableColumns count="14">
    <tableColumn id="1" xr3:uid="{30120507-59B7-4E39-9736-DD004A4CF5CB}" name="Nome" dataDxfId="81"/>
    <tableColumn id="2" xr3:uid="{AB8230B4-9A4A-44EF-BB87-C4CACBD18C5F}" name="Barra de" dataDxfId="80"/>
    <tableColumn id="3" xr3:uid="{B4EB3D4B-781C-4650-BEEA-30E6D7A81A35}" name="Barra para" dataDxfId="79"/>
    <tableColumn id="4" xr3:uid="{330EF97A-C5A9-4C11-9A8E-CE8C64A31B98}" name="Tensão (kV)" dataDxfId="78"/>
    <tableColumn id="5" xr3:uid="{E8D819A1-6394-472E-9E16-3B2EA093E29D}" name="Potência Nominal (MVA)" dataDxfId="77"/>
    <tableColumn id="6" xr3:uid="{F11529B5-BE00-42BC-890E-64E0E6AFF6F1}" name="R1 (%)" dataDxfId="76"/>
    <tableColumn id="7" xr3:uid="{CFED6F8E-5D17-4662-ACC5-C3E2ABE880FB}" name="R0 (%)" dataDxfId="75"/>
    <tableColumn id="8" xr3:uid="{7430D406-FE3E-4B08-BB6D-3A8D932E918D}" name="X1 (%)" dataDxfId="74"/>
    <tableColumn id="9" xr3:uid="{94284ABF-4FFF-4BE1-B200-614B09A8B34C}" name="X0 (%)" dataDxfId="73"/>
    <tableColumn id="10" xr3:uid="{C5D7E913-E161-4147-8CA6-551A69411E75}" name="R1 (pu) Base" dataDxfId="72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71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70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69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4" xr3:uid="{D9FAADF6-F52F-4673-BF77-01DD1C973274}" name="Status" dataDxfId="42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68">
  <autoFilter ref="A1:S3" xr:uid="{B599559C-32F1-4236-AECA-7D9877860AA5}"/>
  <tableColumns count="19">
    <tableColumn id="1" xr3:uid="{37D2B7CF-5760-4FE5-B9E3-B0DCD2A26D81}" name="Nome" dataDxfId="67"/>
    <tableColumn id="2" xr3:uid="{DDB0FCF3-D10E-454C-83FE-382C8D19A917}" name="Tipo de Máquina" dataDxfId="66"/>
    <tableColumn id="3" xr3:uid="{41B724F9-FA51-4405-81DF-58B3AE9B4DBC}" name="Barra Conectada" dataDxfId="65"/>
    <tableColumn id="4" xr3:uid="{6B3CE436-99E4-492E-85DA-15FB0B060EDA}" name="Potência Nominal (MVA)" dataDxfId="64"/>
    <tableColumn id="5" xr3:uid="{E5D2863F-65FE-4C5B-A9EB-346763EA179D}" name="Tensão (kV)" dataDxfId="63"/>
    <tableColumn id="6" xr3:uid="{68B25089-7F4B-4E85-8AAE-DE5FA47E5B93}" name="R1 (%)" dataDxfId="62"/>
    <tableColumn id="7" xr3:uid="{D4859BAA-B7F8-4C05-B645-D585A105F903}" name="R0 (%)" dataDxfId="61"/>
    <tableColumn id="17" xr3:uid="{409E9AB5-8B08-48E6-A7A0-793C14053FCE}" name="RN (%)" dataDxfId="60"/>
    <tableColumn id="8" xr3:uid="{BBBE4417-080E-4E8B-BC6C-05E4524DE3F5}" name="X1 (%)" dataDxfId="59"/>
    <tableColumn id="9" xr3:uid="{05140983-8FCC-4839-B46F-8E7004364620}" name="X0 (%)" dataDxfId="58"/>
    <tableColumn id="10" xr3:uid="{BF9AB535-205A-4F79-84D5-5550453715EF}" name="XN (%)" dataDxfId="57"/>
    <tableColumn id="11" xr3:uid="{3102012A-28C3-429F-ABCF-987A3E858B48}" name="Tipo de Conexão" dataDxfId="56"/>
    <tableColumn id="12" xr3:uid="{E1B4EC4F-7076-41FF-BCB0-E7F6CF0E98EF}" name="R1 (pu) Base" dataDxfId="55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54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53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52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51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50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8" xr3:uid="{9783863A-A941-4806-A16C-320774174B82}" name="Status" dataDxfId="21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33">
  <autoFilter ref="A1:H2" xr:uid="{A5F92FF0-A218-472D-B9E3-FC6DA3123327}"/>
  <tableColumns count="8">
    <tableColumn id="1" xr3:uid="{910FA3BB-C4BB-4AC3-AF9E-D80012ED1C16}" name="Nome" dataDxfId="32"/>
    <tableColumn id="2" xr3:uid="{F4DC6F70-034F-4E4F-BC64-1BAA423C9AB6}" name="Barra Conectada" dataDxfId="31"/>
    <tableColumn id="4" xr3:uid="{4208AB9B-5640-49E2-9518-C539EBBA5291}" name="Potência Ativa (MW)" dataDxfId="30"/>
    <tableColumn id="5" xr3:uid="{471FEBBB-894E-44C5-8AF7-578155197899}" name="Potência Reativa (MVAr)" dataDxfId="29"/>
    <tableColumn id="6" xr3:uid="{3161E565-B978-4834-B215-F8B8B19F1373}" name="Tipo de Conexão" dataDxfId="28"/>
    <tableColumn id="7" xr3:uid="{0BD04F28-6FD5-49ED-863C-5834525FEF1B}" name="R1 (pu) Base" dataDxfId="27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26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25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106</v>
      </c>
    </row>
    <row r="3" spans="1:1" x14ac:dyDescent="0.25">
      <c r="A3" t="s">
        <v>63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6"/>
  <sheetViews>
    <sheetView workbookViewId="0">
      <selection activeCell="E6" sqref="E6"/>
    </sheetView>
  </sheetViews>
  <sheetFormatPr defaultRowHeight="15" x14ac:dyDescent="0.25"/>
  <sheetData>
    <row r="1" spans="1:7" s="9" customFormat="1" x14ac:dyDescent="0.25">
      <c r="A1" s="9" t="s">
        <v>41</v>
      </c>
      <c r="B1" s="9" t="s">
        <v>40</v>
      </c>
    </row>
    <row r="2" spans="1:7" s="9" customFormat="1" x14ac:dyDescent="0.25">
      <c r="A2" s="9" t="s">
        <v>42</v>
      </c>
      <c r="B2" s="9" t="s">
        <v>43</v>
      </c>
    </row>
    <row r="3" spans="1:7" s="9" customFormat="1" x14ac:dyDescent="0.25">
      <c r="A3" s="9" t="s">
        <v>44</v>
      </c>
      <c r="B3" s="9" t="s">
        <v>45</v>
      </c>
    </row>
    <row r="4" spans="1:7" x14ac:dyDescent="0.25">
      <c r="A4" t="s">
        <v>46</v>
      </c>
      <c r="B4" t="s">
        <v>47</v>
      </c>
    </row>
    <row r="5" spans="1:7" s="9" customFormat="1" x14ac:dyDescent="0.25">
      <c r="A5" s="9" t="s">
        <v>48</v>
      </c>
      <c r="B5" s="9" t="s">
        <v>49</v>
      </c>
    </row>
    <row r="6" spans="1:7" s="9" customFormat="1" x14ac:dyDescent="0.25">
      <c r="A6" s="9" t="s">
        <v>50</v>
      </c>
      <c r="B6" s="9" t="s">
        <v>51</v>
      </c>
    </row>
    <row r="7" spans="1:7" x14ac:dyDescent="0.25">
      <c r="A7" t="s">
        <v>52</v>
      </c>
      <c r="B7" t="s">
        <v>100</v>
      </c>
    </row>
    <row r="8" spans="1:7" x14ac:dyDescent="0.25">
      <c r="A8" t="s">
        <v>53</v>
      </c>
      <c r="B8" t="s">
        <v>54</v>
      </c>
    </row>
    <row r="9" spans="1:7" x14ac:dyDescent="0.25">
      <c r="A9" t="s">
        <v>55</v>
      </c>
      <c r="B9" t="s">
        <v>56</v>
      </c>
      <c r="G9" t="s">
        <v>92</v>
      </c>
    </row>
    <row r="10" spans="1:7" x14ac:dyDescent="0.25">
      <c r="A10" t="s">
        <v>57</v>
      </c>
      <c r="B10" t="s">
        <v>58</v>
      </c>
    </row>
    <row r="11" spans="1:7" s="9" customFormat="1" x14ac:dyDescent="0.25">
      <c r="A11" s="9" t="s">
        <v>115</v>
      </c>
      <c r="B11" s="9" t="s">
        <v>116</v>
      </c>
    </row>
    <row r="12" spans="1:7" s="9" customFormat="1" x14ac:dyDescent="0.25">
      <c r="A12" s="9" t="s">
        <v>118</v>
      </c>
      <c r="B12" s="9" t="s">
        <v>119</v>
      </c>
    </row>
    <row r="13" spans="1:7" s="9" customFormat="1" x14ac:dyDescent="0.25">
      <c r="A13" s="9" t="s">
        <v>61</v>
      </c>
      <c r="B13" s="9" t="s">
        <v>62</v>
      </c>
    </row>
    <row r="14" spans="1:7" x14ac:dyDescent="0.25">
      <c r="A14" t="s">
        <v>87</v>
      </c>
      <c r="B14" t="s">
        <v>105</v>
      </c>
    </row>
    <row r="15" spans="1:7" x14ac:dyDescent="0.25">
      <c r="A15" t="s">
        <v>103</v>
      </c>
      <c r="B15" t="s">
        <v>104</v>
      </c>
    </row>
    <row r="16" spans="1:7" s="9" customFormat="1" x14ac:dyDescent="0.25">
      <c r="A16" s="9" t="s">
        <v>113</v>
      </c>
      <c r="B16" s="9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zoomScaleNormal="100" workbookViewId="0">
      <selection activeCell="I3" sqref="I3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27</v>
      </c>
      <c r="B1" s="1" t="s">
        <v>28</v>
      </c>
      <c r="C1" s="1" t="s">
        <v>88</v>
      </c>
      <c r="D1" s="1" t="s">
        <v>89</v>
      </c>
      <c r="E1" s="1" t="s">
        <v>111</v>
      </c>
      <c r="F1" s="1" t="s">
        <v>112</v>
      </c>
      <c r="G1" s="11" t="s">
        <v>91</v>
      </c>
      <c r="H1" s="11" t="s">
        <v>90</v>
      </c>
      <c r="I1" s="11" t="s">
        <v>117</v>
      </c>
    </row>
    <row r="2" spans="1:9" x14ac:dyDescent="0.25">
      <c r="A2" s="1" t="s">
        <v>64</v>
      </c>
      <c r="B2" s="8">
        <v>4</v>
      </c>
      <c r="C2" s="1">
        <v>0</v>
      </c>
      <c r="D2" s="1">
        <v>0</v>
      </c>
      <c r="E2" s="10">
        <v>1</v>
      </c>
      <c r="F2" s="10">
        <v>0</v>
      </c>
      <c r="G2" s="2">
        <f>Configurações[[#This Row],[Resistência de Falta (Ω)]] /
(
POWER(
_xlfn.XLOOKUP(Configurações[[#This Row],[Barra de Ocorrência]],Barramentos[Número],Barramentos[Tensão (kV)],"-",0),
2
)
/Potencia_Base
)</f>
        <v>0</v>
      </c>
      <c r="H2" s="2">
        <f>Configurações[[#This Row],[Reatância de Falta (Ω)]] /
(
POWER(
_xlfn.XLOOKUP(Configurações[[#This Row],[Barra de Ocorrência]],Barramentos[Número],Barramentos[Tensão (kV)],"-",0),
2
)
/Potencia_Base
)</f>
        <v>0</v>
      </c>
      <c r="I2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" t="s">
        <v>101</v>
      </c>
      <c r="B3" s="8">
        <v>1</v>
      </c>
      <c r="C3" s="1">
        <v>0</v>
      </c>
      <c r="D3" s="1">
        <v>0</v>
      </c>
      <c r="E3" s="10">
        <v>1</v>
      </c>
      <c r="F3" s="10">
        <v>0</v>
      </c>
      <c r="G3" s="2">
        <f>Configurações[[#This Row],[Resistência de Falta (Ω)]] /
(
POWER(
_xlfn.XLOOKUP(Configurações[[#This Row],[Barra de Ocorrência]],Barramentos[Número],Barramentos[Tensão (kV)],"-",0),
2
)
/Potencia_Base
)</f>
        <v>0</v>
      </c>
      <c r="H3" s="2">
        <f>Configurações[[#This Row],[Reatância de Falta (Ω)]] /
(
POWER(
_xlfn.XLOOKUP(Configurações[[#This Row],[Barra de Ocorrência]],Barramentos[Número],Barramentos[Tensão (kV)],"-",0),
2
)
/Potencia_Base
)</f>
        <v>0</v>
      </c>
      <c r="I3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4" spans="1:9" x14ac:dyDescent="0.25">
      <c r="A4" s="1" t="s">
        <v>102</v>
      </c>
      <c r="B4" s="8">
        <v>3</v>
      </c>
      <c r="C4" s="1">
        <v>0</v>
      </c>
      <c r="D4" s="1">
        <v>0</v>
      </c>
      <c r="E4" s="10">
        <v>1</v>
      </c>
      <c r="F4" s="10">
        <v>0</v>
      </c>
      <c r="G4" s="2">
        <f>Configurações[[#This Row],[Resistência de Falta (Ω)]] /
(
POWER(
_xlfn.XLOOKUP(Configurações[[#This Row],[Barra de Ocorrência]],Barramentos[Número],Barramentos[Tensão (kV)],"-",0),
2
)
/Potencia_Base
)</f>
        <v>0</v>
      </c>
      <c r="H4" s="2">
        <f>Configurações[[#This Row],[Reatância de Falta (Ω)]] /
(
POWER(
_xlfn.XLOOKUP(Configurações[[#This Row],[Barra de Ocorrência]],Barramentos[Número],Barramentos[Tensão (kV)],"-",0),
2
)
/Potencia_Base
)</f>
        <v>0</v>
      </c>
      <c r="I4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conditionalFormatting sqref="I2:I4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count="4"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4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F4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workbookViewId="0">
      <selection activeCell="D3" sqref="D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12" t="s">
        <v>117</v>
      </c>
    </row>
    <row r="2" spans="1:4" s="1" customFormat="1" x14ac:dyDescent="0.25">
      <c r="A2" s="1" t="s">
        <v>26</v>
      </c>
      <c r="B2" s="8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8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8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8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A2:B5">
    <cfRule type="duplicateValues" dxfId="15" priority="12"/>
  </conditionalFormatting>
  <conditionalFormatting sqref="D2:D5">
    <cfRule type="cellIs" dxfId="14" priority="1" operator="equal">
      <formula>"Verificar!"</formula>
    </cfRule>
    <cfRule type="cellIs" dxfId="13" priority="2" operator="equal">
      <formula>"Ok"</formula>
    </cfRule>
  </conditionalFormatting>
  <dataValidations disablePrompts="1"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topLeftCell="B1" zoomScaleNormal="100" workbookViewId="0">
      <selection activeCell="Y3" sqref="Y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107</v>
      </c>
      <c r="J1" t="s">
        <v>108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93</v>
      </c>
      <c r="Q1" s="12" t="s">
        <v>10</v>
      </c>
      <c r="R1" s="12" t="s">
        <v>11</v>
      </c>
      <c r="S1" s="12" t="s">
        <v>109</v>
      </c>
      <c r="T1" s="12" t="s">
        <v>110</v>
      </c>
      <c r="U1" s="12" t="s">
        <v>12</v>
      </c>
      <c r="V1" s="12" t="s">
        <v>13</v>
      </c>
      <c r="W1" s="12" t="s">
        <v>19</v>
      </c>
      <c r="X1" s="12" t="s">
        <v>20</v>
      </c>
      <c r="Y1" s="12" t="s">
        <v>117</v>
      </c>
    </row>
    <row r="2" spans="1:25" s="1" customFormat="1" x14ac:dyDescent="0.25">
      <c r="A2" s="1" t="s">
        <v>38</v>
      </c>
      <c r="B2" s="1">
        <v>175</v>
      </c>
      <c r="C2" s="8">
        <v>1</v>
      </c>
      <c r="D2" s="1">
        <v>15</v>
      </c>
      <c r="E2" s="8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94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8">
        <v>3</v>
      </c>
      <c r="D3" s="1">
        <v>345</v>
      </c>
      <c r="E3" s="8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85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A2:A3">
    <cfRule type="duplicateValues" dxfId="12" priority="18"/>
  </conditionalFormatting>
  <conditionalFormatting sqref="Y2:Y3">
    <cfRule type="cellIs" dxfId="11" priority="1" operator="equal">
      <formula>"Verificar!"</formula>
    </cfRule>
    <cfRule type="cellIs" dxfId="10" priority="2" operator="equal">
      <formula>"Ok"</formula>
    </cfRule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N3" sqref="N3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117</v>
      </c>
    </row>
    <row r="2" spans="1:14" s="1" customFormat="1" x14ac:dyDescent="0.25">
      <c r="A2" s="1" t="s">
        <v>35</v>
      </c>
      <c r="B2" s="8">
        <v>2</v>
      </c>
      <c r="C2" s="8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A2">
    <cfRule type="duplicateValues" dxfId="9" priority="19"/>
  </conditionalFormatting>
  <conditionalFormatting sqref="N2">
    <cfRule type="cellIs" dxfId="8" priority="1" operator="equal">
      <formula>"Verificar!"</formula>
    </cfRule>
    <cfRule type="cellIs" dxfId="7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12" t="s">
        <v>10</v>
      </c>
      <c r="N1" s="12" t="s">
        <v>11</v>
      </c>
      <c r="O1" s="12" t="s">
        <v>60</v>
      </c>
      <c r="P1" s="12" t="s">
        <v>12</v>
      </c>
      <c r="Q1" s="12" t="s">
        <v>13</v>
      </c>
      <c r="R1" s="12" t="s">
        <v>24</v>
      </c>
      <c r="S1" s="12" t="s">
        <v>117</v>
      </c>
    </row>
    <row r="2" spans="1:19" s="1" customFormat="1" x14ac:dyDescent="0.25">
      <c r="A2" s="1" t="s">
        <v>31</v>
      </c>
      <c r="B2" s="1" t="s">
        <v>32</v>
      </c>
      <c r="C2" s="8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8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6" priority="13"/>
    <cfRule type="duplicateValues" dxfId="5" priority="14"/>
  </conditionalFormatting>
  <conditionalFormatting sqref="S2:S3">
    <cfRule type="cellIs" dxfId="4" priority="1" operator="equal">
      <formula>"Ok"</formula>
    </cfRule>
    <cfRule type="cellIs" dxfId="3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workbookViewId="0">
      <selection activeCell="B12" sqref="B12"/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12" t="s">
        <v>10</v>
      </c>
      <c r="G1" s="12" t="s">
        <v>12</v>
      </c>
      <c r="H1" s="12" t="s">
        <v>117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tabSelected="1" workbookViewId="0">
      <selection activeCell="F10" sqref="F10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65</v>
      </c>
      <c r="C2" t="s">
        <v>66</v>
      </c>
      <c r="D2" t="s">
        <v>67</v>
      </c>
      <c r="E2" t="s">
        <v>67</v>
      </c>
    </row>
    <row r="3" spans="1:5" x14ac:dyDescent="0.25">
      <c r="A3" s="6">
        <v>2</v>
      </c>
      <c r="B3" t="s">
        <v>66</v>
      </c>
      <c r="C3" t="s">
        <v>68</v>
      </c>
      <c r="D3" t="s">
        <v>69</v>
      </c>
      <c r="E3" t="s">
        <v>67</v>
      </c>
    </row>
    <row r="4" spans="1:5" x14ac:dyDescent="0.25">
      <c r="A4" s="6">
        <v>3</v>
      </c>
      <c r="B4" t="s">
        <v>67</v>
      </c>
      <c r="C4" t="s">
        <v>69</v>
      </c>
      <c r="D4" t="s">
        <v>70</v>
      </c>
      <c r="E4" t="s">
        <v>71</v>
      </c>
    </row>
    <row r="5" spans="1:5" x14ac:dyDescent="0.25">
      <c r="A5" s="6">
        <v>4</v>
      </c>
      <c r="B5" t="s">
        <v>67</v>
      </c>
      <c r="C5" t="s">
        <v>67</v>
      </c>
      <c r="D5" t="s">
        <v>71</v>
      </c>
      <c r="E5" t="s">
        <v>72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H19" sqref="H17:H19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73</v>
      </c>
      <c r="C2" t="s">
        <v>74</v>
      </c>
      <c r="D2" t="s">
        <v>75</v>
      </c>
      <c r="E2" t="s">
        <v>76</v>
      </c>
    </row>
    <row r="3" spans="1:5" x14ac:dyDescent="0.25">
      <c r="A3" s="6">
        <v>2</v>
      </c>
      <c r="B3" t="s">
        <v>74</v>
      </c>
      <c r="C3" t="s">
        <v>77</v>
      </c>
      <c r="D3" t="s">
        <v>78</v>
      </c>
      <c r="E3" t="s">
        <v>79</v>
      </c>
    </row>
    <row r="4" spans="1:5" x14ac:dyDescent="0.25">
      <c r="A4" s="6">
        <v>3</v>
      </c>
      <c r="B4" t="s">
        <v>75</v>
      </c>
      <c r="C4" t="s">
        <v>78</v>
      </c>
      <c r="D4" t="s">
        <v>80</v>
      </c>
      <c r="E4" t="s">
        <v>81</v>
      </c>
    </row>
    <row r="5" spans="1:5" x14ac:dyDescent="0.25">
      <c r="A5" s="6">
        <v>4</v>
      </c>
      <c r="B5" t="s">
        <v>76</v>
      </c>
      <c r="C5" t="s">
        <v>79</v>
      </c>
      <c r="D5" t="s">
        <v>81</v>
      </c>
      <c r="E5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68</v>
      </c>
      <c r="C2" t="s">
        <v>67</v>
      </c>
      <c r="D2" t="s">
        <v>67</v>
      </c>
      <c r="E2" t="s">
        <v>67</v>
      </c>
    </row>
    <row r="3" spans="1:5" x14ac:dyDescent="0.25">
      <c r="A3" s="6">
        <v>2</v>
      </c>
      <c r="B3" t="s">
        <v>67</v>
      </c>
      <c r="C3" t="s">
        <v>95</v>
      </c>
      <c r="D3" t="s">
        <v>83</v>
      </c>
      <c r="E3" t="s">
        <v>67</v>
      </c>
    </row>
    <row r="4" spans="1:5" x14ac:dyDescent="0.25">
      <c r="A4" s="6">
        <v>3</v>
      </c>
      <c r="B4" t="s">
        <v>67</v>
      </c>
      <c r="C4" t="s">
        <v>83</v>
      </c>
      <c r="D4" t="s">
        <v>86</v>
      </c>
      <c r="E4" t="s">
        <v>71</v>
      </c>
    </row>
    <row r="5" spans="1:5" x14ac:dyDescent="0.25">
      <c r="A5" s="6">
        <v>4</v>
      </c>
      <c r="B5" t="s">
        <v>67</v>
      </c>
      <c r="C5" t="s">
        <v>67</v>
      </c>
      <c r="D5" t="s">
        <v>71</v>
      </c>
      <c r="E5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96</v>
      </c>
      <c r="C2" t="s">
        <v>67</v>
      </c>
      <c r="D2" t="s">
        <v>67</v>
      </c>
      <c r="E2" t="s">
        <v>67</v>
      </c>
    </row>
    <row r="3" spans="1:5" x14ac:dyDescent="0.25">
      <c r="A3" s="6">
        <v>2</v>
      </c>
      <c r="B3" t="s">
        <v>67</v>
      </c>
      <c r="C3" t="s">
        <v>97</v>
      </c>
      <c r="D3" t="s">
        <v>98</v>
      </c>
      <c r="E3" t="s">
        <v>99</v>
      </c>
    </row>
    <row r="4" spans="1:5" x14ac:dyDescent="0.25">
      <c r="A4" s="6">
        <v>3</v>
      </c>
      <c r="B4" t="s">
        <v>67</v>
      </c>
      <c r="C4" t="s">
        <v>98</v>
      </c>
      <c r="D4" t="s">
        <v>98</v>
      </c>
      <c r="E4" t="s">
        <v>99</v>
      </c>
    </row>
    <row r="5" spans="1:5" x14ac:dyDescent="0.25">
      <c r="A5" s="6">
        <v>4</v>
      </c>
      <c r="B5" t="s">
        <v>67</v>
      </c>
      <c r="C5" t="s">
        <v>99</v>
      </c>
      <c r="D5" t="s">
        <v>99</v>
      </c>
      <c r="E5" t="s">
        <v>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2026-04-01T13:03:54Z</dcterms:modified>
</cp:coreProperties>
</file>
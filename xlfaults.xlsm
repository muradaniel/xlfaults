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06e3c45fc05c434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2F1D50DB-6E61-4378-8243-780F0836B5E7}" xr6:coauthVersionLast="47" xr6:coauthVersionMax="47" xr10:uidLastSave="{00000000-0000-0000-0000-000000000000}"/>
  <bookViews>
    <workbookView xWindow="-120" yWindow="-120" windowWidth="29040" windowHeight="15720" tabRatio="0" firstSheet="5" activeTab="5" xr2:uid="{2D99AEA3-E3D3-48D2-BF79-9D8C0154BEA9}"/>
  </bookViews>
  <sheets>
    <sheet name="Oculto" sheetId="14" state="veryHidden" r:id="rId1"/>
    <sheet name="Configurações" sheetId="13" r:id="rId2"/>
    <sheet name="Barramentos" sheetId="3" r:id="rId3"/>
    <sheet name="Transformadores" sheetId="4" r:id="rId4"/>
    <sheet name="Linhas de Transmissão" sheetId="5" r:id="rId5"/>
    <sheet name="Máquinas" sheetId="6" r:id="rId6"/>
    <sheet name="Carga" sheetId="7" r:id="rId7"/>
    <sheet name="Y Barra (+) (-)" sheetId="1" r:id="rId8"/>
    <sheet name="Z Barra (+) (-)" sheetId="9" r:id="rId9"/>
    <sheet name="Y Barra (0)" sheetId="10" r:id="rId10"/>
    <sheet name="Z Barra (0)" sheetId="11" r:id="rId11"/>
    <sheet name="Relatório" sheetId="12" r:id="rId12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" l="1"/>
  <c r="D4" i="3"/>
  <c r="D5" i="3"/>
  <c r="G3" i="13" l="1"/>
  <c r="H3" i="13"/>
  <c r="M2" i="5"/>
  <c r="L2" i="5"/>
  <c r="K2" i="5"/>
  <c r="J2" i="5"/>
  <c r="M2" i="6"/>
  <c r="M3" i="6"/>
  <c r="R2" i="6"/>
  <c r="R3" i="6"/>
  <c r="Q2" i="6"/>
  <c r="Q3" i="6"/>
  <c r="P2" i="6"/>
  <c r="P3" i="6"/>
  <c r="O2" i="6"/>
  <c r="O3" i="6"/>
  <c r="N2" i="6"/>
  <c r="N3" i="6"/>
  <c r="H2" i="13"/>
  <c r="G2" i="13"/>
  <c r="D2" i="3"/>
  <c r="G2" i="7"/>
  <c r="F2" i="7"/>
  <c r="T2" i="4"/>
  <c r="T3" i="4"/>
  <c r="S2" i="4"/>
  <c r="S3" i="4"/>
  <c r="R2" i="4"/>
  <c r="R3" i="4"/>
  <c r="Q2" i="4"/>
  <c r="Q3" i="4"/>
  <c r="U3" i="4"/>
  <c r="V3" i="4"/>
  <c r="W3" i="4"/>
  <c r="X3" i="4"/>
  <c r="I3" i="13" l="1"/>
  <c r="H2" i="7"/>
  <c r="Y3" i="4"/>
  <c r="I2" i="13"/>
  <c r="X2" i="4"/>
  <c r="W2" i="4"/>
  <c r="V2" i="4"/>
  <c r="U2" i="4"/>
  <c r="Y2" i="4" l="1"/>
  <c r="S3" i="6"/>
  <c r="N2" i="5" l="1"/>
  <c r="S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tc={2F63ECFB-8593-4880-A2E7-EC5DA401CC84}</author>
  </authors>
  <commentList>
    <comment ref="B1" authorId="0" shapeId="0" xr:uid="{2F63ECFB-8593-4880-A2E7-EC5DA401CC8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Preenchimento obrigatório para o diagrama.</t>
      </text>
    </comment>
  </commentList>
</comments>
</file>

<file path=xl/sharedStrings.xml><?xml version="1.0" encoding="utf-8"?>
<sst xmlns="http://schemas.openxmlformats.org/spreadsheetml/2006/main" count="440" uniqueCount="194">
  <si>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</si>
  <si>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</si>
  <si>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</si>
  <si>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</si>
  <si>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</si>
  <si>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</si>
  <si>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</si>
  <si>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</si>
  <si>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</si>
  <si>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</si>
  <si>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</si>
  <si>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</si>
  <si>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</si>
  <si>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</si>
  <si>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</si>
  <si>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</si>
  <si>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</si>
  <si>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</si>
  <si>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</si>
  <si>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</si>
  <si>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</si>
  <si>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</si>
  <si>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</si>
  <si>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</si>
  <si>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</si>
  <si>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</si>
  <si>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</si>
  <si>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</si>
  <si>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</si>
  <si>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</si>
  <si>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</si>
  <si>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</si>
  <si>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</si>
  <si>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</si>
  <si>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</si>
  <si>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Linha 2-3</t>
  </si>
  <si>
    <t>Yt</t>
  </si>
  <si>
    <t>G4</t>
  </si>
  <si>
    <t>Trafo 1</t>
  </si>
  <si>
    <t>Trafo 2</t>
  </si>
  <si>
    <t>RN (%)</t>
  </si>
  <si>
    <t>RN (pu) Base</t>
  </si>
  <si>
    <t>Monofásico</t>
  </si>
  <si>
    <t>0.0000+0.0000j</t>
  </si>
  <si>
    <t>Resistência de Falta (Ω)</t>
  </si>
  <si>
    <t>Reatância de Falta (Ω)</t>
  </si>
  <si>
    <t>Reatância de Falta (pu)</t>
  </si>
  <si>
    <t>Resistência de Falta (pu)</t>
  </si>
  <si>
    <t>Defasagem (°)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</si>
  <si>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</si>
  <si>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</si>
  <si>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</si>
  <si>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</si>
  <si>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</si>
  <si>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</si>
  <si>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Status</t>
  </si>
  <si>
    <t>IF"</t>
  </si>
  <si>
    <t>Fase A</t>
  </si>
  <si>
    <t>Fase B</t>
  </si>
  <si>
    <t>Fase C</t>
  </si>
  <si>
    <t>Seq. (0)</t>
  </si>
  <si>
    <t>Seq. (+)</t>
  </si>
  <si>
    <t>Seq. (-)</t>
  </si>
  <si>
    <t>0.0000 ∠ 0.00°</t>
  </si>
  <si>
    <t>Barra</t>
  </si>
  <si>
    <t>Elemento</t>
  </si>
  <si>
    <t>Trafo 1 (Primário)</t>
  </si>
  <si>
    <t>Trafo 1 (Secundário)</t>
  </si>
  <si>
    <t>Trafo 2 (Primário)</t>
  </si>
  <si>
    <t>Trafo 2 (Secundário)</t>
  </si>
  <si>
    <t>Barramento</t>
  </si>
  <si>
    <t>Trifásico</t>
  </si>
  <si>
    <t>Curto Circuito Monofásico na Barra 4 - Tensão Pré Falta 1 ∠ 0° PU - Impedância de falta 0j PU</t>
  </si>
  <si>
    <t>Curto Circuito Trifásico na Barra 2 - Tensão Pré Falta 1 ∠ 0° PU - Impedância de falta 0j PU</t>
  </si>
  <si>
    <t>0.0000+5.0000j</t>
  </si>
  <si>
    <t>Real</t>
  </si>
  <si>
    <t>Correntes de Curto Circuito (kA)</t>
  </si>
  <si>
    <t>29.0289 ∠ -90.00°</t>
  </si>
  <si>
    <t>9.6763 ∠ -90.00°</t>
  </si>
  <si>
    <t>Tensões nos Barramentos (kV)</t>
  </si>
  <si>
    <t>4.7026 ∠ 0.00°</t>
  </si>
  <si>
    <t>8.1349 ∠ -112.79°</t>
  </si>
  <si>
    <t>8.1349 ∠ 112.79°</t>
  </si>
  <si>
    <t>0.5329 ∠ 180.00°</t>
  </si>
  <si>
    <t>6.9479 ∠ 0.00°</t>
  </si>
  <si>
    <t>1.7124 ∠ 180.00°</t>
  </si>
  <si>
    <t>84.5532 ∠ 0.00°</t>
  </si>
  <si>
    <t>185.8123 ∠ -111.82°</t>
  </si>
  <si>
    <t>185.8123 ∠ 111.82°</t>
  </si>
  <si>
    <t>17.8589 ∠ 180.00°</t>
  </si>
  <si>
    <t>150.7989 ∠ 0.00°</t>
  </si>
  <si>
    <t>48.3869 ∠ 180.00°</t>
  </si>
  <si>
    <t>20.6563 ∠ 0.00°</t>
  </si>
  <si>
    <t>187.6571 ∠ -113.19°</t>
  </si>
  <si>
    <t>187.6571 ∠ 113.19°</t>
  </si>
  <si>
    <t>42.3710 ∠ 180.00°</t>
  </si>
  <si>
    <t>131.1066 ∠ 0.00°</t>
  </si>
  <si>
    <t>68.0793 ∠ 180.00°</t>
  </si>
  <si>
    <t>8.1090 ∠ -112.35°</t>
  </si>
  <si>
    <t>8.1090 ∠ 112.35°</t>
  </si>
  <si>
    <t>2.0554 ∠ 180.00°</t>
  </si>
  <si>
    <t>5.3578 ∠ 0.00°</t>
  </si>
  <si>
    <t>3.3024 ∠ 180.00°</t>
  </si>
  <si>
    <t>Correntes de Contribuição (kA)</t>
  </si>
  <si>
    <t>0.4339 ∠ -90.00°</t>
  </si>
  <si>
    <t>0.0625 ∠ 90.00°</t>
  </si>
  <si>
    <t>0.1030 ∠ -90.00°</t>
  </si>
  <si>
    <t>0.1654 ∠ -90.00°</t>
  </si>
  <si>
    <t>9.9789 ∠ -90.00°</t>
  </si>
  <si>
    <t>1.4370 ∠ 90.00°</t>
  </si>
  <si>
    <t>2.3683 ∠ -90.00°</t>
  </si>
  <si>
    <t>3.8053 ∠ -90.00°</t>
  </si>
  <si>
    <t>19.0500 ∠ -90.00°</t>
  </si>
  <si>
    <t>1.4370 ∠ -90.00°</t>
  </si>
  <si>
    <t>7.3080 ∠ -90.00°</t>
  </si>
  <si>
    <t>5.8710 ∠ -90.00°</t>
  </si>
  <si>
    <t>Correntes Injetadas nos Barramentos (kA)</t>
  </si>
  <si>
    <t>19.2450 ∠ -90.00°</t>
  </si>
  <si>
    <t>19.2450 ∠ 150.00°</t>
  </si>
  <si>
    <t>19.2450 ∠ 30.00°</t>
  </si>
  <si>
    <t>13.6329 ∠ 90.00°</t>
  </si>
  <si>
    <t>15.3960 ∠ 150.00°</t>
  </si>
  <si>
    <t>15.3960 ∠ 30.00°</t>
  </si>
  <si>
    <t>9.6763 ∠ 90.00°</t>
  </si>
  <si>
    <t>5.7197 ∠ -90.00°</t>
  </si>
  <si>
    <t>1.1100 ∠ -89.04°</t>
  </si>
  <si>
    <t>1.1100 ∠ 150.96°</t>
  </si>
  <si>
    <t>1.1100 ∠ 30.96°</t>
  </si>
  <si>
    <t>1.6175 ∠ -4.18°</t>
  </si>
  <si>
    <t>1.6175 ∠ -124.18°</t>
  </si>
  <si>
    <t>1.6175 ∠ 115.82°</t>
  </si>
  <si>
    <t>3.3300 ∠ -89.04°</t>
  </si>
  <si>
    <t>3.3300 ∠ 150.96°</t>
  </si>
  <si>
    <t>3.3300 ∠ 30.96°</t>
  </si>
  <si>
    <t>51.1746 ∠ -2.77°</t>
  </si>
  <si>
    <t>51.1746 ∠ -122.77°</t>
  </si>
  <si>
    <t>51.1746 ∠ 117.23°</t>
  </si>
  <si>
    <t>3.1117 ∠ -1.71°</t>
  </si>
  <si>
    <t>3.1117 ∠ -121.71°</t>
  </si>
  <si>
    <t>3.1117 ∠ 118.29°</t>
  </si>
  <si>
    <t>0.4290 ∠ 90.96°</t>
  </si>
  <si>
    <t>0.4290 ∠ -29.04°</t>
  </si>
  <si>
    <t>0.4290 ∠ -149.04°</t>
  </si>
  <si>
    <t>15.6624 ∠ -89.04°</t>
  </si>
  <si>
    <t>15.6624 ∠ 150.96°</t>
  </si>
  <si>
    <t>15.6624 ∠ 30.96°</t>
  </si>
  <si>
    <t>9.8679 ∠ -89.04°</t>
  </si>
  <si>
    <t>9.8679 ∠ 150.96°</t>
  </si>
  <si>
    <t>9.8679 ∠ 30.96°</t>
  </si>
  <si>
    <t>0.6810 ∠ -89.04°</t>
  </si>
  <si>
    <t>0.6810 ∠ 150.96°</t>
  </si>
  <si>
    <t>0.6810 ∠ 30.96°</t>
  </si>
  <si>
    <t>9.8679 ∠ 90.96°</t>
  </si>
  <si>
    <t>9.8679 ∠ -29.04°</t>
  </si>
  <si>
    <t>9.8679 ∠ -149.04°</t>
  </si>
  <si>
    <t>1.1100 ∠ 90.96°</t>
  </si>
  <si>
    <t>1.1100 ∠ -29.04°</t>
  </si>
  <si>
    <t>1.1100 ∠ -149.04°</t>
  </si>
  <si>
    <t>15.3960 ∠ -90.00°</t>
  </si>
  <si>
    <t>Xlfaults</t>
  </si>
  <si>
    <t>0.0000-26.8750j</t>
  </si>
  <si>
    <t>0.0000+21.8750j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</si>
  <si>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</si>
  <si>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</si>
  <si>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</si>
  <si>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</si>
  <si>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</si>
  <si>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</si>
  <si>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</si>
  <si>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</si>
  <si>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</si>
  <si>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</si>
  <si>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</si>
  <si>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</si>
  <si>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</si>
  <si>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</si>
  <si>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</si>
  <si>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0.0000-30.0000j</t>
  </si>
  <si>
    <t>0.0000-33.0000j</t>
  </si>
  <si>
    <t>0.0000+0.0804j</t>
  </si>
  <si>
    <t>0.0000+0.0715j</t>
  </si>
  <si>
    <t>0.0000+0.0323j</t>
  </si>
  <si>
    <t>0.0000+0.0245j</t>
  </si>
  <si>
    <t>0.0000+0.1041j</t>
  </si>
  <si>
    <t>0.0000+0.0471j</t>
  </si>
  <si>
    <t>0.0000+0.0357j</t>
  </si>
  <si>
    <t>0.0000+0.1117j</t>
  </si>
  <si>
    <t>0.0000+0.0846j</t>
  </si>
  <si>
    <t>0.0000+0.0944j</t>
  </si>
  <si>
    <t>Data: 13/04/2026 22:45:09</t>
  </si>
  <si>
    <t>G2</t>
  </si>
  <si>
    <t>Exemplo 4 Barras</t>
  </si>
  <si>
    <t>D-Yt</t>
  </si>
  <si>
    <t>Yt-D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</si>
</sst>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8ED973"/>
      <name val="Aptos Narrow"/>
      <family val="2"/>
      <scheme val="minor"/>
    </font>
    <font>
      <b/>
      <sz val="12"/>
      <color rgb="FFA6C8EC"/>
      <name val="Aptos Narrow"/>
      <family val="2"/>
      <scheme val="minor"/>
    </font>
    <font>
      <b/>
      <sz val="12"/>
      <color rgb="FFFF714F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/>
    <xf numFmtId="0" fontId="4" fillId="0" borderId="0" xfId="0" applyFont="1" applyAlignment="1">
      <alignment horizontal="left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9" fillId="2" borderId="0" xfId="0" applyFont="1" applyFill="1" applyAlignment="1">
      <alignment horizontal="center"/>
    </xf>
  </cellXfs>
  <cellStyles count="1">
    <cellStyle name="Normal" xfId="0" builtinId="0"/>
  </cellStyles>
  <dxfs count="104"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3" insertRowShift="1" totalsRowShown="0" headerRowDxfId="101" dataDxfId="100">
  <autoFilter ref="A1:I3" xr:uid="{193FD222-520A-4DD8-BE18-987EE612A9D0}"/>
  <tableColumns count="9">
    <tableColumn id="3" xr3:uid="{CA127CF5-E49A-4A9B-B187-4761AA1A79D7}" name="Tipo de Curto Circuito" dataDxfId="99"/>
    <tableColumn id="4" xr3:uid="{88F28AA7-C36A-4434-AD6B-50BE92E74F4D}" name="Barra de Ocorrência" dataDxfId="98"/>
    <tableColumn id="1" xr3:uid="{F4241A51-9F4A-4C52-8A84-2A790858DBF2}" name="Resistência de Falta (Ω)" dataDxfId="97"/>
    <tableColumn id="5" xr3:uid="{27F9348A-202C-4C0A-A004-3C442352EC0A}" name="Reatância de Falta (Ω)" dataDxfId="96"/>
    <tableColumn id="7" xr3:uid="{4EDE8271-7299-42E4-8C91-5F8E909EDF0D}" name="Módulo Tensão Pré-Falta (pu)" dataDxfId="95"/>
    <tableColumn id="8" xr3:uid="{F28A6798-519F-471F-90C9-C4B09058FAAC}" name="Ângulo Tensão Pré-Falta (graus)" dataDxfId="94"/>
    <tableColumn id="6" xr3:uid="{1BF22A3B-7D9D-4AC4-95DB-628DCE968BE5}" name="Resistência de Falta (pu)" dataDxfId="93">
      <calculatedColumnFormula>IFERROR(Configurações[[#This Row],[Resistência de Falta (Ω)]] /
(
POWER(
_xlfn.XLOOKUP(Configurações[[#This Row],[Barra de Ocorrência]],Barramentos[Número],Barramentos[Tensão (kV)],"-",0),
2
)
/Potencia_Base
),"")</calculatedColumnFormula>
    </tableColumn>
    <tableColumn id="2" xr3:uid="{FC313323-B754-419A-A51D-9355F8FB163F}" name="Reatância de Falta (pu)" dataDxfId="92">
      <calculatedColumnFormula>IFERROR(Configurações[[#This Row],[Reatância de Falta (Ω)]] /
(
POWER(
_xlfn.XLOOKUP(Configurações[[#This Row],[Barra de Ocorrência]],Barramentos[Número],Barramentos[Tensão (kV)],"-",0),
2
)
/Potencia_Base
),"")</calculatedColumnFormula>
    </tableColumn>
    <tableColumn id="9" xr3:uid="{1AB1BCD0-DB2C-4DFA-AECC-9FE4FB916AB2}" name="Status" dataDxfId="91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5" totalsRowShown="0" dataDxfId="87">
  <autoFilter ref="A1:D5" xr:uid="{185A231E-D573-421A-8DE0-86DC8EC5B091}"/>
  <tableColumns count="4">
    <tableColumn id="1" xr3:uid="{8EBD12C1-4E78-43A6-AE95-30F1337B03D1}" name="Nome" dataDxfId="86"/>
    <tableColumn id="2" xr3:uid="{CFD29857-E1CA-4766-A849-933A0A451513}" name="Número" dataDxfId="85"/>
    <tableColumn id="3" xr3:uid="{B100B757-52E1-499F-9BC6-78F92CB8E714}" name="Tensão (kV)" dataDxfId="84"/>
    <tableColumn id="4" xr3:uid="{45DAEBD0-AEA5-404D-83FA-86673FA4DA4E}" name="Status" dataDxfId="83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3" totalsRowShown="0" dataDxfId="79">
  <autoFilter ref="A1:Y3" xr:uid="{A4AC50ED-6DE4-4C38-93EE-BDF3497EA246}"/>
  <tableColumns count="25">
    <tableColumn id="1" xr3:uid="{39101201-31D4-4805-BA09-578CF4254661}" name="Nome" dataDxfId="78"/>
    <tableColumn id="2" xr3:uid="{82F12B74-9B8E-4129-9D60-29194591E977}" name="Potência Nominal (MVA)" dataDxfId="77"/>
    <tableColumn id="3" xr3:uid="{3676778F-0DD3-4FF1-ABF3-91F631C97AB9}" name="Barra de" dataDxfId="76"/>
    <tableColumn id="4" xr3:uid="{85CA93BC-10AF-4454-9E5C-AB0AA858497E}" name="Tensão Primário (kV)" dataDxfId="75"/>
    <tableColumn id="5" xr3:uid="{F6BF0648-8461-4D3C-BAF8-B44FF50EBC42}" name="Barra para" dataDxfId="74"/>
    <tableColumn id="6" xr3:uid="{788BEFB8-3595-4644-A922-A3C31BA8827C}" name="Tensão Secundário (kV)" dataDxfId="73"/>
    <tableColumn id="17" xr3:uid="{643462F2-B827-4D92-BB8D-B63F2A8B46DE}" name="R1 (%)" dataDxfId="72"/>
    <tableColumn id="18" xr3:uid="{978EA81F-1DF1-4135-9DED-967EDBEF3113}" name="R0 (%)" dataDxfId="71"/>
    <tableColumn id="19" xr3:uid="{7114C9F7-2A77-4742-998E-9665ED40D853}" name="RN P (%)" dataDxfId="70"/>
    <tableColumn id="20" xr3:uid="{E2838565-8CDC-4D7D-9D23-62F5CCD93DBC}" name="RN S (%)" dataDxfId="69"/>
    <tableColumn id="7" xr3:uid="{B0A73F71-8999-46E8-8E3D-7A74ED6AD1DE}" name="X1 (%)" dataDxfId="68"/>
    <tableColumn id="8" xr3:uid="{683A169E-13B2-47A8-905B-31A9A7946BFF}" name="X0 (%)" dataDxfId="67"/>
    <tableColumn id="9" xr3:uid="{0CED62B1-AB9E-472F-B905-855FCDDA5621}" name="XN P (%)" dataDxfId="66"/>
    <tableColumn id="10" xr3:uid="{5A25097B-1431-4425-93D5-7DA14A630D4D}" name="XN S (%)" dataDxfId="65"/>
    <tableColumn id="11" xr3:uid="{17BC764E-AC0C-41D2-A895-E25CF32BD66D}" name="Tipo de Conexão" dataDxfId="64"/>
    <tableColumn id="16" xr3:uid="{C26B22AC-395A-4831-B51C-EDF601536FBA}" name="Defasagem (°)" dataDxfId="63"/>
    <tableColumn id="21" xr3:uid="{E121F7A3-274E-4A17-BA4E-674BD1AB4224}" name="R1 (pu) Base" dataDxfId="62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61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60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59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58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57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6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5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54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50">
  <autoFilter ref="A1:N2" xr:uid="{4C6B18B1-E121-4D7E-AA00-B30E64F151BF}"/>
  <tableColumns count="14">
    <tableColumn id="1" xr3:uid="{30120507-59B7-4E39-9736-DD004A4CF5CB}" name="Nome" dataDxfId="49"/>
    <tableColumn id="2" xr3:uid="{AB8230B4-9A4A-44EF-BB87-C4CACBD18C5F}" name="Barra de" dataDxfId="48"/>
    <tableColumn id="3" xr3:uid="{B4EB3D4B-781C-4650-BEEA-30E6D7A81A35}" name="Barra para" dataDxfId="47"/>
    <tableColumn id="4" xr3:uid="{330EF97A-C5A9-4C11-9A8E-CE8C64A31B98}" name="Tensão (kV)" dataDxfId="46"/>
    <tableColumn id="5" xr3:uid="{E8D819A1-6394-472E-9E16-3B2EA093E29D}" name="Potência Nominal (MVA)" dataDxfId="45"/>
    <tableColumn id="6" xr3:uid="{F11529B5-BE00-42BC-890E-64E0E6AFF6F1}" name="R1 (%)" dataDxfId="44"/>
    <tableColumn id="7" xr3:uid="{CFED6F8E-5D17-4662-ACC5-C3E2ABE880FB}" name="R0 (%)" dataDxfId="43"/>
    <tableColumn id="8" xr3:uid="{7430D406-FE3E-4B08-BB6D-3A8D932E918D}" name="X1 (%)" dataDxfId="42"/>
    <tableColumn id="9" xr3:uid="{94284ABF-4FFF-4BE1-B200-614B09A8B34C}" name="X0 (%)" dataDxfId="41"/>
    <tableColumn id="10" xr3:uid="{C5D7E913-E161-4147-8CA6-551A69411E75}" name="R1 (pu) Base" dataDxfId="40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1" xr3:uid="{1A614F9D-2C12-4960-84A0-E7AB92429555}" name="R0 (pu) Base" dataDxfId="39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2" xr3:uid="{0E6E9D2C-9281-4656-969A-620794973D34}" name="X1 (pu) Base" dataDxfId="38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3" xr3:uid="{6C2201FE-42D6-4DF0-B3EF-A735978E4650}" name="X0 (pu) Base" dataDxfId="37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4" xr3:uid="{D9FAADF6-F52F-4673-BF77-01DD1C973274}" name="Status" dataDxfId="36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3" totalsRowShown="0" dataDxfId="31">
  <autoFilter ref="A1:S3" xr:uid="{B599559C-32F1-4236-AECA-7D9877860AA5}"/>
  <tableColumns count="19">
    <tableColumn id="1" xr3:uid="{37D2B7CF-5760-4FE5-B9E3-B0DCD2A26D81}" name="Nome" dataDxfId="30"/>
    <tableColumn id="2" xr3:uid="{DDB0FCF3-D10E-454C-83FE-382C8D19A917}" name="Tipo de Máquina" dataDxfId="29"/>
    <tableColumn id="3" xr3:uid="{41B724F9-FA51-4405-81DF-58B3AE9B4DBC}" name="Barra Conectada" dataDxfId="28"/>
    <tableColumn id="4" xr3:uid="{6B3CE436-99E4-492E-85DA-15FB0B060EDA}" name="Potência Nominal (MVA)" dataDxfId="27"/>
    <tableColumn id="5" xr3:uid="{E5D2863F-65FE-4C5B-A9EB-346763EA179D}" name="Tensão (kV)" dataDxfId="26"/>
    <tableColumn id="6" xr3:uid="{68B25089-7F4B-4E85-8AAE-DE5FA47E5B93}" name="R1 (%)" dataDxfId="25"/>
    <tableColumn id="7" xr3:uid="{D4859BAA-B7F8-4C05-B645-D585A105F903}" name="R0 (%)" dataDxfId="24"/>
    <tableColumn id="17" xr3:uid="{409E9AB5-8B08-48E6-A7A0-793C14053FCE}" name="RN (%)" dataDxfId="23"/>
    <tableColumn id="8" xr3:uid="{BBBE4417-080E-4E8B-BC6C-05E4524DE3F5}" name="X1 (%)" dataDxfId="22"/>
    <tableColumn id="9" xr3:uid="{05140983-8FCC-4839-B46F-8E7004364620}" name="X0 (%)" dataDxfId="21"/>
    <tableColumn id="10" xr3:uid="{BF9AB535-205A-4F79-84D5-5550453715EF}" name="XN (%)" dataDxfId="20"/>
    <tableColumn id="11" xr3:uid="{3102012A-28C3-429F-ABCF-987A3E858B48}" name="Tipo de Conexão" dataDxfId="19"/>
    <tableColumn id="12" xr3:uid="{E1B4EC4F-7076-41FF-BCB0-E7F6CF0E98EF}" name="R1 (pu) Base" dataDxfId="18">
      <calculatedColumnFormula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3" xr3:uid="{92B538A9-5C58-47C5-9C6B-1D55720C45D7}" name="R0 (pu) Base" dataDxfId="17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9" xr3:uid="{9CD2F29C-116E-42CC-803E-DC7192FA4C57}" name="RN (pu) Base" dataDxfId="16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4" xr3:uid="{0ECCD92D-2C71-4E29-8D85-5CC3CE9C7289}" name="X1 (pu) Base" dataDxfId="15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5" xr3:uid="{D6E9DCA9-5484-4093-AC90-911A5FDC2769}" name="X0 (pu) Base" dataDxfId="14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6" xr3:uid="{EC88726C-0DDD-49C1-935E-CBFE5D75D870}" name="XN (pu) Base" dataDxfId="13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8" xr3:uid="{9783863A-A941-4806-A16C-320774174B82}" name="Status" dataDxfId="12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8">
  <autoFilter ref="A1:H2" xr:uid="{A5F92FF0-A218-472D-B9E3-FC6DA3123327}"/>
  <tableColumns count="8">
    <tableColumn id="1" xr3:uid="{910FA3BB-C4BB-4AC3-AF9E-D80012ED1C16}" name="Nome" dataDxfId="7"/>
    <tableColumn id="2" xr3:uid="{F4DC6F70-034F-4E4F-BC64-1BAA423C9AB6}" name="Barra Conectada" dataDxfId="6"/>
    <tableColumn id="4" xr3:uid="{4208AB9B-5640-49E2-9518-C539EBBA5291}" name="Potência Ativa (MW)" dataDxfId="5"/>
    <tableColumn id="5" xr3:uid="{471FEBBB-894E-44C5-8AF7-578155197899}" name="Potência Reativa (MVAr)" dataDxfId="4"/>
    <tableColumn id="6" xr3:uid="{3161E565-B978-4834-B215-F8B8B19F1373}" name="Tipo de Conexão" dataDxfId="3"/>
    <tableColumn id="7" xr3:uid="{0BD04F28-6FD5-49ED-863C-5834525FEF1B}" name="R1 (pu) Base" dataDxfId="2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0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" dT="2026-04-10T20:44:07.41" personId="{427EDA70-F2A6-43BD-9A42-79A0A53CE1F7}" id="{2F63ECFB-8593-4880-A2E7-EC5DA401CC84}">
    <text>Preenchimento obrigatório para o diagrama.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J16" sqref="J16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191</v>
      </c>
    </row>
    <row r="3" spans="1:1" x14ac:dyDescent="0.25">
      <c r="A3" t="s">
        <v>75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3"/>
  <sheetViews>
    <sheetView showGridLines="0" zoomScaleNormal="100" workbookViewId="0">
      <selection activeCell="A18" sqref="A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0.140625" style="16" customWidth="1"/>
    <col min="2" max="2" width="27" style="16" customWidth="1"/>
    <col min="3" max="3" width="29" style="16" customWidth="1"/>
    <col min="4" max="4" width="27.140625" style="16" customWidth="1"/>
    <col min="5" max="5" width="34.140625" style="16" customWidth="1"/>
    <col min="6" max="6" width="36" style="16" customWidth="1"/>
    <col min="7" max="7" width="29.7109375" style="16" customWidth="1"/>
    <col min="8" max="8" width="30.7109375" style="18" customWidth="1"/>
    <col min="9" max="9" width="23.28515625" style="18" bestFit="1" customWidth="1"/>
    <col min="10" max="16384" width="9.140625" style="18"/>
  </cols>
  <sheetData>
    <row r="1" spans="1:9" x14ac:dyDescent="0.25">
      <c r="A1" s="16" t="s">
        <v>27</v>
      </c>
      <c r="B1" s="16" t="s">
        <v>28</v>
      </c>
      <c r="C1" s="16" t="s">
        <v>44</v>
      </c>
      <c r="D1" s="16" t="s">
        <v>45</v>
      </c>
      <c r="E1" s="16" t="s">
        <v>53</v>
      </c>
      <c r="F1" s="16" t="s">
        <v>54</v>
      </c>
      <c r="G1" s="17" t="s">
        <v>47</v>
      </c>
      <c r="H1" s="17" t="s">
        <v>46</v>
      </c>
      <c r="I1" s="17" t="s">
        <v>55</v>
      </c>
    </row>
    <row r="2" spans="1:9" x14ac:dyDescent="0.25">
      <c r="A2" s="16" t="s">
        <v>42</v>
      </c>
      <c r="B2" s="19">
        <v>4</v>
      </c>
      <c r="C2" s="16">
        <v>0</v>
      </c>
      <c r="D2" s="16">
        <v>0</v>
      </c>
      <c r="E2" s="20">
        <v>1</v>
      </c>
      <c r="F2" s="20">
        <v>0</v>
      </c>
      <c r="G2" s="21">
        <f>IFERROR(Configurações[[#This Row],[Resistência de Falta (Ω)]] /
(
POWER(
_xlfn.XLOOKUP(Configurações[[#This Row],[Barra de Ocorrência]],Barramentos[Número],Barramentos[Tensão (kV)],"-",0),
2
)
/Potencia_Base
),"")</f>
        <v>0</v>
      </c>
      <c r="H2" s="21">
        <f>IFERROR(Configurações[[#This Row],[Reatância de Falta (Ω)]] /
(
POWER(
_xlfn.XLOOKUP(Configurações[[#This Row],[Barra de Ocorrência]],Barramentos[Número],Barramentos[Tensão (kV)],"-",0),
2
)
/Potencia_Base
),"")</f>
        <v>0</v>
      </c>
      <c r="I2" s="22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  <row r="3" spans="1:9" x14ac:dyDescent="0.25">
      <c r="A3" s="16" t="s">
        <v>71</v>
      </c>
      <c r="B3" s="19">
        <v>2</v>
      </c>
      <c r="C3" s="16">
        <v>1</v>
      </c>
      <c r="D3" s="16">
        <v>0</v>
      </c>
      <c r="E3" s="20">
        <v>1</v>
      </c>
      <c r="F3" s="20">
        <v>0</v>
      </c>
      <c r="G3" s="21">
        <f>IFERROR(Configurações[[#This Row],[Resistência de Falta (Ω)]] /
(
POWER(
_xlfn.XLOOKUP(Configurações[[#This Row],[Barra de Ocorrência]],Barramentos[Número],Barramentos[Tensão (kV)],"-",0),
2
)
/Potencia_Base
),"")</f>
        <v>8.4015963032976261E-4</v>
      </c>
      <c r="H3" s="21">
        <f>IFERROR(Configurações[[#This Row],[Reatância de Falta (Ω)]] /
(
POWER(
_xlfn.XLOOKUP(Configurações[[#This Row],[Barra de Ocorrência]],Barramentos[Número],Barramentos[Tensão (kV)],"-",0),
2
)
/Potencia_Base
),"")</f>
        <v>0</v>
      </c>
      <c r="I3" s="22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</sheetData>
  <sheetProtection formatCells="0" formatColumns="0" formatRows="0" insertColumns="0" insertRows="0" insertHyperlinks="0" deleteColumns="0" deleteRows="0" sort="0" autoFilter="0" pivotTables="0"/>
  <protectedRanges>
    <protectedRange sqref="A2:F10" name="Intervalo1"/>
  </protectedRanges>
  <conditionalFormatting sqref="I2:I3">
    <cfRule type="cellIs" dxfId="103" priority="1" operator="equal">
      <formula>"Ok"</formula>
    </cfRule>
    <cfRule type="cellIs" dxfId="102" priority="2" operator="equal">
      <formula>"Verificar!"</formula>
    </cfRule>
  </conditionalFormatting>
  <dataValidations count="4">
    <dataValidation type="list" allowBlank="1" showInputMessage="1" showErrorMessage="1" sqref="B2:B3" xr:uid="{D7AD2082-6D50-4A04-911E-F1BE7F72159B}">
      <formula1>INDIRECT("Barramentos[Número]")</formula1>
    </dataValidation>
    <dataValidation type="list" allowBlank="1" showInputMessage="1" showErrorMessage="1" sqref="A2:A3" xr:uid="{354A04D4-4D14-45AD-80EE-372509A058E0}">
      <formula1>"Trifásico,Monofásico,Bifásico-Terra,Bifásico"</formula1>
    </dataValidation>
    <dataValidation type="decimal" operator="greaterThanOrEqual" showInputMessage="1" showErrorMessage="1" sqref="C2:C3" xr:uid="{E966FC70-F503-4F5B-A599-19E24597B9B5}">
      <formula1>0</formula1>
    </dataValidation>
    <dataValidation type="decimal" operator="greaterThanOrEqual" allowBlank="1" showInputMessage="1" showErrorMessage="1" sqref="D2:F3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5"/>
  <sheetViews>
    <sheetView showGridLines="0" workbookViewId="0">
      <selection activeCell="A35" sqref="A35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8" t="s">
        <v>55</v>
      </c>
    </row>
    <row r="2" spans="1:4" s="1" customFormat="1" x14ac:dyDescent="0.25">
      <c r="A2" s="1" t="s">
        <v>26</v>
      </c>
      <c r="B2" s="7">
        <v>1</v>
      </c>
      <c r="C2" s="3">
        <v>15</v>
      </c>
      <c r="D2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3" spans="1:4" x14ac:dyDescent="0.25">
      <c r="A3" s="1" t="s">
        <v>25</v>
      </c>
      <c r="B3" s="7">
        <v>2</v>
      </c>
      <c r="C3" s="3">
        <v>345</v>
      </c>
      <c r="D3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4" spans="1:4" x14ac:dyDescent="0.25">
      <c r="A4" s="1" t="s">
        <v>29</v>
      </c>
      <c r="B4" s="7">
        <v>3</v>
      </c>
      <c r="C4" s="3">
        <v>345</v>
      </c>
      <c r="D4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5" spans="1:4" x14ac:dyDescent="0.25">
      <c r="A5" s="1" t="s">
        <v>30</v>
      </c>
      <c r="B5" s="7">
        <v>4</v>
      </c>
      <c r="C5" s="3">
        <v>15</v>
      </c>
      <c r="D5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</sheetData>
  <conditionalFormatting sqref="D2:D5">
    <cfRule type="cellIs" dxfId="90" priority="1" operator="equal">
      <formula>"Verificar!"</formula>
    </cfRule>
    <cfRule type="cellIs" dxfId="89" priority="2" operator="equal">
      <formula>"Ok"</formula>
    </cfRule>
  </conditionalFormatting>
  <conditionalFormatting sqref="A2:B5">
    <cfRule type="duplicateValues" dxfId="88" priority="24"/>
  </conditionalFormatting>
  <dataValidations count="2">
    <dataValidation type="whole" allowBlank="1" showInputMessage="1" showErrorMessage="1" sqref="B2:B5" xr:uid="{730E81BB-091B-45D4-B9EC-9AF643D5CC82}">
      <formula1>1</formula1>
      <formula2>99999</formula2>
    </dataValidation>
    <dataValidation type="decimal" operator="greaterThan" allowBlank="1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3"/>
  <sheetViews>
    <sheetView showGridLines="0" zoomScaleNormal="100" workbookViewId="0">
      <selection activeCell="O3" sqref="O3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49</v>
      </c>
      <c r="J1" t="s">
        <v>50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48</v>
      </c>
      <c r="Q1" s="8" t="s">
        <v>10</v>
      </c>
      <c r="R1" s="8" t="s">
        <v>11</v>
      </c>
      <c r="S1" s="8" t="s">
        <v>51</v>
      </c>
      <c r="T1" s="8" t="s">
        <v>52</v>
      </c>
      <c r="U1" s="8" t="s">
        <v>12</v>
      </c>
      <c r="V1" s="8" t="s">
        <v>13</v>
      </c>
      <c r="W1" s="8" t="s">
        <v>19</v>
      </c>
      <c r="X1" s="8" t="s">
        <v>20</v>
      </c>
      <c r="Y1" s="8" t="s">
        <v>55</v>
      </c>
    </row>
    <row r="2" spans="1:25" s="1" customFormat="1" x14ac:dyDescent="0.25">
      <c r="A2" s="1" t="s">
        <v>38</v>
      </c>
      <c r="B2" s="1">
        <v>175</v>
      </c>
      <c r="C2" s="7">
        <v>1</v>
      </c>
      <c r="D2" s="1">
        <v>15</v>
      </c>
      <c r="E2" s="7">
        <v>2</v>
      </c>
      <c r="F2" s="1">
        <v>345</v>
      </c>
      <c r="G2" s="4">
        <v>0</v>
      </c>
      <c r="H2" s="4">
        <v>0</v>
      </c>
      <c r="I2" s="4">
        <v>0</v>
      </c>
      <c r="J2" s="4">
        <v>0</v>
      </c>
      <c r="K2" s="1">
        <v>8</v>
      </c>
      <c r="L2" s="1">
        <v>8</v>
      </c>
      <c r="M2" s="1">
        <v>0</v>
      </c>
      <c r="N2" s="1">
        <v>0</v>
      </c>
      <c r="O2" s="1" t="s">
        <v>192</v>
      </c>
      <c r="P2" s="3">
        <v>30</v>
      </c>
      <c r="Q2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2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2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2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V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W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  <row r="3" spans="1:25" x14ac:dyDescent="0.25">
      <c r="A3" s="1" t="s">
        <v>39</v>
      </c>
      <c r="B3" s="1">
        <v>175</v>
      </c>
      <c r="C3" s="7">
        <v>3</v>
      </c>
      <c r="D3" s="1">
        <v>335</v>
      </c>
      <c r="E3" s="7">
        <v>4</v>
      </c>
      <c r="F3" s="1">
        <v>15</v>
      </c>
      <c r="G3" s="4">
        <v>0</v>
      </c>
      <c r="H3" s="4">
        <v>0</v>
      </c>
      <c r="I3" s="4">
        <v>0</v>
      </c>
      <c r="J3" s="4">
        <v>0</v>
      </c>
      <c r="K3" s="1">
        <v>7</v>
      </c>
      <c r="L3" s="1">
        <v>7</v>
      </c>
      <c r="M3" s="1">
        <v>0</v>
      </c>
      <c r="N3" s="1">
        <v>0</v>
      </c>
      <c r="O3" s="1" t="s">
        <v>193</v>
      </c>
      <c r="P3" s="3">
        <v>-30</v>
      </c>
      <c r="Q3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3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3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3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3.7714765805503044E-2</v>
      </c>
      <c r="V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3.7714765805503044E-2</v>
      </c>
      <c r="W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3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</sheetData>
  <sheetProtection formatCells="0"/>
  <conditionalFormatting sqref="Y2:Y3">
    <cfRule type="cellIs" dxfId="82" priority="1" operator="equal">
      <formula>"Verificar!"</formula>
    </cfRule>
    <cfRule type="cellIs" dxfId="81" priority="2" operator="equal">
      <formula>"Ok"</formula>
    </cfRule>
  </conditionalFormatting>
  <conditionalFormatting sqref="A2:A3">
    <cfRule type="duplicateValues" dxfId="80" priority="23"/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allowBlank="1" showInputMessage="1" showErrorMessage="1" sqref="E2:E3 C2:C3" xr:uid="{88FF6D65-EAFC-452E-9282-2C2CA1772819}">
      <formula1>INDIRECT("Barramentos[Número]")</formula1>
    </dataValidation>
    <dataValidation type="decimal" operator="greaterThanOrEqual" allowBlank="1" showInputMessage="1" showErrorMessage="1" sqref="D2:D3 F2:N3" xr:uid="{A4B660CB-078C-4003-9D0E-7C3B167AC11D}">
      <formula1>0</formula1>
    </dataValidation>
    <dataValidation type="list" allowBlank="1" showInputMessage="1" showErrorMessage="1" sqref="O2:O3" xr:uid="{F80BEEB6-9C5B-461C-A2CE-1083D85F28FD}">
      <formula1>"Y-Y,Yt-Y,Y-Yt,Yt-Yt,Y-D,D-Y,Yt-D,D-Yt,D-D"</formula1>
    </dataValidation>
    <dataValidation type="decimal" allowBlank="1" showInputMessage="1" showErrorMessage="1" sqref="P2:T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selection activeCell="A16" sqref="A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8" t="s">
        <v>10</v>
      </c>
      <c r="K1" s="8" t="s">
        <v>11</v>
      </c>
      <c r="L1" s="8" t="s">
        <v>12</v>
      </c>
      <c r="M1" s="8" t="s">
        <v>13</v>
      </c>
      <c r="N1" s="8" t="s">
        <v>55</v>
      </c>
    </row>
    <row r="2" spans="1:14" s="1" customFormat="1" x14ac:dyDescent="0.25">
      <c r="A2" s="1" t="s">
        <v>35</v>
      </c>
      <c r="B2" s="7">
        <v>2</v>
      </c>
      <c r="C2" s="7">
        <v>3</v>
      </c>
      <c r="D2" s="3">
        <v>345</v>
      </c>
      <c r="E2" s="1">
        <v>100</v>
      </c>
      <c r="F2" s="4">
        <v>0</v>
      </c>
      <c r="G2" s="4">
        <v>0</v>
      </c>
      <c r="H2" s="4">
        <v>1.92</v>
      </c>
      <c r="I2" s="4">
        <v>3.92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1.9199999999999998E-2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3.9199999999999999E-2</v>
      </c>
      <c r="N2" s="2" t="str">
        <f>IF(COUNTBLANK(Linhas[[#This Row],[Nome]:[X0 (pu) Base]])=COLUMNS(Linhas[[#This Row],[Nome]:[X0 (pu) Base]]),"",IF(COUNTBLANK(Linhas[[#This Row],[Nome]:[X0 (pu) Base]])&gt;0,"Verificar!","Ok"))</f>
        <v>Ok</v>
      </c>
    </row>
  </sheetData>
  <conditionalFormatting sqref="N2">
    <cfRule type="cellIs" dxfId="53" priority="1" operator="equal">
      <formula>"Verificar!"</formula>
    </cfRule>
    <cfRule type="cellIs" dxfId="52" priority="2" operator="equal">
      <formula>"Ok"</formula>
    </cfRule>
  </conditionalFormatting>
  <conditionalFormatting sqref="A2">
    <cfRule type="duplicateValues" dxfId="51" priority="22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3"/>
  <sheetViews>
    <sheetView showGridLines="0" tabSelected="1" workbookViewId="0">
      <selection activeCell="A17" sqref="A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2" max="2" width="19" customWidth="1"/>
    <col min="3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40</v>
      </c>
      <c r="I1" t="s">
        <v>8</v>
      </c>
      <c r="J1" t="s">
        <v>9</v>
      </c>
      <c r="K1" t="s">
        <v>23</v>
      </c>
      <c r="L1" t="s">
        <v>18</v>
      </c>
      <c r="M1" s="8" t="s">
        <v>10</v>
      </c>
      <c r="N1" s="8" t="s">
        <v>11</v>
      </c>
      <c r="O1" s="8" t="s">
        <v>41</v>
      </c>
      <c r="P1" s="8" t="s">
        <v>12</v>
      </c>
      <c r="Q1" s="8" t="s">
        <v>13</v>
      </c>
      <c r="R1" s="8" t="s">
        <v>24</v>
      </c>
      <c r="S1" s="8" t="s">
        <v>55</v>
      </c>
    </row>
    <row r="2" spans="1:19" s="1" customFormat="1" x14ac:dyDescent="0.25">
      <c r="A2" s="1" t="s">
        <v>31</v>
      </c>
      <c r="B2" s="1" t="s">
        <v>32</v>
      </c>
      <c r="C2" s="7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5.27</v>
      </c>
      <c r="J2" s="4">
        <v>1.25</v>
      </c>
      <c r="K2" s="4">
        <v>0</v>
      </c>
      <c r="L2" s="1" t="s">
        <v>36</v>
      </c>
      <c r="M2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5.2699999999999997E-2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1.2500000000000001E-2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2" s="2" t="str">
        <f>IF(COUNTBLANK(Máquinas[[#This Row],[Nome]:[XN (pu) Base]])=COLUMNS(Máquinas[[#This Row],[Nome]:[XN (pu) Base]]),"",IF(COUNTBLANK(Máquinas[[#This Row],[Nome]:[XN (pu) Base]])&gt;0,"Verificar!","Ok"))</f>
        <v>Ok</v>
      </c>
    </row>
    <row r="3" spans="1:19" x14ac:dyDescent="0.25">
      <c r="A3" s="1" t="s">
        <v>190</v>
      </c>
      <c r="B3" s="1" t="s">
        <v>32</v>
      </c>
      <c r="C3" s="7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4.47</v>
      </c>
      <c r="J3" s="4">
        <v>1.1299999999999999</v>
      </c>
      <c r="K3" s="4">
        <v>0</v>
      </c>
      <c r="L3" s="1" t="s">
        <v>36</v>
      </c>
      <c r="M3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4.4699999999999997E-2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1.1299999999999999E-2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3" s="2" t="str">
        <f>IF(COUNTBLANK(Máquinas[[#This Row],[Nome]:[XN (pu) Base]])=COLUMNS(Máquinas[[#This Row],[Nome]:[XN (pu) Base]]),"",IF(COUNTBLANK(Máquinas[[#This Row],[Nome]:[XN (pu) Base]])&gt;0,"Verificar!","Ok"))</f>
        <v>Ok</v>
      </c>
    </row>
  </sheetData>
  <conditionalFormatting sqref="A2:A3">
    <cfRule type="duplicateValues" dxfId="35" priority="13"/>
    <cfRule type="duplicateValues" dxfId="34" priority="14"/>
  </conditionalFormatting>
  <conditionalFormatting sqref="S2:S3">
    <cfRule type="cellIs" dxfId="33" priority="1" operator="equal">
      <formula>"Ok"</formula>
    </cfRule>
    <cfRule type="cellIs" dxfId="32" priority="2" operator="equal">
      <formula>"Verificar!"</formula>
    </cfRule>
  </conditionalFormatting>
  <dataValidations disablePrompts="1" count="4">
    <dataValidation type="list" allowBlank="1" showInputMessage="1" showErrorMessage="1" sqref="B2:B3" xr:uid="{030B28AD-E1E3-4915-9BC7-7CE9F6F445BD}">
      <formula1>"Gerador,Motor"</formula1>
    </dataValidation>
    <dataValidation type="list" allowBlank="1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allowBlank="1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33</v>
      </c>
      <c r="D1" t="s">
        <v>34</v>
      </c>
      <c r="E1" t="s">
        <v>18</v>
      </c>
      <c r="F1" s="8" t="s">
        <v>10</v>
      </c>
      <c r="G1" s="8" t="s">
        <v>12</v>
      </c>
      <c r="H1" s="8" t="s">
        <v>55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11" priority="17"/>
  </conditionalFormatting>
  <conditionalFormatting sqref="H2">
    <cfRule type="cellIs" dxfId="10" priority="1" operator="equal">
      <formula>"Ok"</formula>
    </cfRule>
    <cfRule type="cellIs" dxfId="9" priority="2" operator="equal">
      <formula>"Verificar!"</formula>
    </cfRule>
  </conditionalFormatting>
  <dataValidations disablePrompts="1"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showGridLines="0" showRowColHeader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>
    <row r="1" spans="1:5" ht="20.100000000000001" customHeight="1" x14ac:dyDescent="0.25">
      <c r="A1" s="14" t="s">
        <v>70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160</v>
      </c>
      <c r="C2" s="15" t="s">
        <v>161</v>
      </c>
      <c r="D2" s="15" t="s">
        <v>43</v>
      </c>
      <c r="E2" s="15" t="s">
        <v>43</v>
      </c>
    </row>
    <row r="3" spans="1:5" ht="20.100000000000001" customHeight="1" x14ac:dyDescent="0.25">
      <c r="A3" s="14">
        <v>2</v>
      </c>
      <c r="B3" s="15" t="s">
        <v>161</v>
      </c>
      <c r="C3" s="15" t="s">
        <v>162</v>
      </c>
      <c r="D3" s="15" t="s">
        <v>163</v>
      </c>
      <c r="E3" s="15" t="s">
        <v>43</v>
      </c>
    </row>
    <row r="4" spans="1:5" ht="20.100000000000001" customHeight="1" x14ac:dyDescent="0.25">
      <c r="A4" s="14">
        <v>3</v>
      </c>
      <c r="B4" s="15" t="s">
        <v>43</v>
      </c>
      <c r="C4" s="15" t="s">
        <v>163</v>
      </c>
      <c r="D4" s="15" t="s">
        <v>164</v>
      </c>
      <c r="E4" s="15" t="s">
        <v>165</v>
      </c>
    </row>
    <row r="5" spans="1:5" ht="20.100000000000001" customHeight="1" x14ac:dyDescent="0.25">
      <c r="A5" s="14">
        <v>4</v>
      </c>
      <c r="B5" s="15" t="s">
        <v>43</v>
      </c>
      <c r="C5" s="15" t="s">
        <v>43</v>
      </c>
      <c r="D5" s="15" t="s">
        <v>165</v>
      </c>
      <c r="E5" s="15" t="s">
        <v>166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/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4" t="s">
        <v>70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167</v>
      </c>
      <c r="C2" s="15" t="s">
        <v>168</v>
      </c>
      <c r="D2" s="15" t="s">
        <v>169</v>
      </c>
      <c r="E2" s="15" t="s">
        <v>170</v>
      </c>
    </row>
    <row r="3" spans="1:5" ht="20.100000000000001" customHeight="1" x14ac:dyDescent="0.25">
      <c r="A3" s="14">
        <v>2</v>
      </c>
      <c r="B3" s="15" t="s">
        <v>168</v>
      </c>
      <c r="C3" s="15" t="s">
        <v>171</v>
      </c>
      <c r="D3" s="15" t="s">
        <v>172</v>
      </c>
      <c r="E3" s="15" t="s">
        <v>173</v>
      </c>
    </row>
    <row r="4" spans="1:5" ht="20.100000000000001" customHeight="1" x14ac:dyDescent="0.25">
      <c r="A4" s="14">
        <v>3</v>
      </c>
      <c r="B4" s="15" t="s">
        <v>169</v>
      </c>
      <c r="C4" s="15" t="s">
        <v>172</v>
      </c>
      <c r="D4" s="15" t="s">
        <v>174</v>
      </c>
      <c r="E4" s="15" t="s">
        <v>175</v>
      </c>
    </row>
    <row r="5" spans="1:5" ht="20.100000000000001" customHeight="1" x14ac:dyDescent="0.25">
      <c r="A5" s="14">
        <v>4</v>
      </c>
      <c r="B5" s="15" t="s">
        <v>170</v>
      </c>
      <c r="C5" s="15" t="s">
        <v>173</v>
      </c>
      <c r="D5" s="15" t="s">
        <v>175</v>
      </c>
      <c r="E5" s="15" t="s">
        <v>176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/>
  </sheetViews>
  <sheetFormatPr defaultRowHeight="15" x14ac:dyDescent="0.25"/>
  <cols>
    <col min="1" max="1" width="11.42578125" style="1" bestFit="1" customWidth="1"/>
    <col min="2" max="5" width="14.85546875" style="1" bestFit="1" customWidth="1"/>
    <col min="6" max="16384" width="9.140625" style="1"/>
  </cols>
  <sheetData>
    <row r="1" spans="1:5" ht="20.100000000000001" customHeight="1" x14ac:dyDescent="0.25">
      <c r="A1" s="14" t="s">
        <v>70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162</v>
      </c>
      <c r="C2" s="15" t="s">
        <v>161</v>
      </c>
      <c r="D2" s="15" t="s">
        <v>43</v>
      </c>
      <c r="E2" s="15" t="s">
        <v>43</v>
      </c>
    </row>
    <row r="3" spans="1:5" ht="20.100000000000001" customHeight="1" x14ac:dyDescent="0.25">
      <c r="A3" s="14">
        <v>2</v>
      </c>
      <c r="B3" s="15" t="s">
        <v>161</v>
      </c>
      <c r="C3" s="15" t="s">
        <v>160</v>
      </c>
      <c r="D3" s="15" t="s">
        <v>74</v>
      </c>
      <c r="E3" s="15" t="s">
        <v>43</v>
      </c>
    </row>
    <row r="4" spans="1:5" ht="20.100000000000001" customHeight="1" x14ac:dyDescent="0.25">
      <c r="A4" s="14">
        <v>3</v>
      </c>
      <c r="B4" s="15" t="s">
        <v>43</v>
      </c>
      <c r="C4" s="15" t="s">
        <v>74</v>
      </c>
      <c r="D4" s="15" t="s">
        <v>177</v>
      </c>
      <c r="E4" s="15" t="s">
        <v>165</v>
      </c>
    </row>
    <row r="5" spans="1:5" ht="20.100000000000001" customHeight="1" x14ac:dyDescent="0.25">
      <c r="A5" s="14">
        <v>4</v>
      </c>
      <c r="B5" s="15" t="s">
        <v>43</v>
      </c>
      <c r="C5" s="15" t="s">
        <v>43</v>
      </c>
      <c r="D5" s="15" t="s">
        <v>165</v>
      </c>
      <c r="E5" s="15" t="s">
        <v>178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showGridLines="0" showRowColHeader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4" t="s">
        <v>70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179</v>
      </c>
      <c r="C2" s="15" t="s">
        <v>180</v>
      </c>
      <c r="D2" s="15" t="s">
        <v>181</v>
      </c>
      <c r="E2" s="15" t="s">
        <v>182</v>
      </c>
    </row>
    <row r="3" spans="1:5" ht="20.100000000000001" customHeight="1" x14ac:dyDescent="0.25">
      <c r="A3" s="14">
        <v>2</v>
      </c>
      <c r="B3" s="15" t="s">
        <v>180</v>
      </c>
      <c r="C3" s="15" t="s">
        <v>183</v>
      </c>
      <c r="D3" s="15" t="s">
        <v>184</v>
      </c>
      <c r="E3" s="15" t="s">
        <v>185</v>
      </c>
    </row>
    <row r="4" spans="1:5" ht="20.100000000000001" customHeight="1" x14ac:dyDescent="0.25">
      <c r="A4" s="14">
        <v>3</v>
      </c>
      <c r="B4" s="15" t="s">
        <v>181</v>
      </c>
      <c r="C4" s="15" t="s">
        <v>184</v>
      </c>
      <c r="D4" s="15" t="s">
        <v>186</v>
      </c>
      <c r="E4" s="15" t="s">
        <v>187</v>
      </c>
    </row>
    <row r="5" spans="1:5" ht="20.100000000000001" customHeight="1" x14ac:dyDescent="0.25">
      <c r="A5" s="14">
        <v>4</v>
      </c>
      <c r="B5" s="15" t="s">
        <v>182</v>
      </c>
      <c r="C5" s="15" t="s">
        <v>185</v>
      </c>
      <c r="D5" s="15" t="s">
        <v>187</v>
      </c>
      <c r="E5" s="15" t="s">
        <v>188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B2:H57"/>
  <sheetViews>
    <sheetView showGridLines="0" showRowColHeaders="0" workbookViewId="0">
      <pane ySplit="4" topLeftCell="A5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29.42578125" defaultRowHeight="15" x14ac:dyDescent="0.25"/>
  <cols>
    <col min="1" max="1" width="29.42578125" style="1"/>
    <col min="2" max="2" width="29.42578125" style="6"/>
    <col min="3" max="16384" width="29.42578125" style="1"/>
  </cols>
  <sheetData>
    <row r="2" spans="2:8" ht="35.25" thickBot="1" x14ac:dyDescent="0.6">
      <c r="B2" s="25" t="s">
        <v>159</v>
      </c>
      <c r="C2" s="25"/>
      <c r="D2" s="25"/>
      <c r="E2" s="25"/>
      <c r="F2" s="25"/>
      <c r="G2" s="25"/>
      <c r="H2" s="25"/>
    </row>
    <row r="3" spans="2:8" ht="15.75" thickTop="1" x14ac:dyDescent="0.25"/>
    <row r="4" spans="2:8" ht="15.75" x14ac:dyDescent="0.25">
      <c r="B4" s="9" t="s">
        <v>189</v>
      </c>
    </row>
    <row r="5" spans="2:8" ht="24" x14ac:dyDescent="0.4">
      <c r="B5" s="26" t="s">
        <v>72</v>
      </c>
      <c r="C5" s="24"/>
      <c r="D5" s="24"/>
      <c r="E5" s="24"/>
      <c r="F5" s="24"/>
      <c r="G5" s="24"/>
      <c r="H5" s="24"/>
    </row>
    <row r="6" spans="2:8" ht="15.75" x14ac:dyDescent="0.25">
      <c r="B6" s="23" t="s">
        <v>76</v>
      </c>
      <c r="C6" s="24"/>
      <c r="D6" s="24"/>
      <c r="E6" s="24"/>
      <c r="F6" s="24"/>
      <c r="G6" s="24"/>
      <c r="H6" s="24"/>
    </row>
    <row r="7" spans="2:8" ht="15.75" x14ac:dyDescent="0.25">
      <c r="B7" s="10" t="s">
        <v>56</v>
      </c>
      <c r="C7" s="10" t="s">
        <v>57</v>
      </c>
      <c r="D7" s="10" t="s">
        <v>58</v>
      </c>
      <c r="E7" s="10" t="s">
        <v>59</v>
      </c>
      <c r="F7" s="10" t="s">
        <v>60</v>
      </c>
      <c r="G7" s="10" t="s">
        <v>61</v>
      </c>
      <c r="H7" s="10" t="s">
        <v>62</v>
      </c>
    </row>
    <row r="8" spans="2:8" x14ac:dyDescent="0.25">
      <c r="B8" s="6" t="s">
        <v>77</v>
      </c>
      <c r="C8" s="1" t="s">
        <v>77</v>
      </c>
      <c r="D8" s="1" t="s">
        <v>63</v>
      </c>
      <c r="E8" s="1" t="s">
        <v>63</v>
      </c>
      <c r="F8" s="1" t="s">
        <v>78</v>
      </c>
      <c r="G8" s="1" t="s">
        <v>78</v>
      </c>
      <c r="H8" s="1" t="s">
        <v>78</v>
      </c>
    </row>
    <row r="9" spans="2:8" ht="15.75" x14ac:dyDescent="0.25">
      <c r="B9" s="23" t="s">
        <v>79</v>
      </c>
      <c r="C9" s="24"/>
      <c r="D9" s="24"/>
      <c r="E9" s="24"/>
      <c r="F9" s="24"/>
      <c r="G9" s="24"/>
      <c r="H9" s="24"/>
    </row>
    <row r="10" spans="2:8" ht="15.75" x14ac:dyDescent="0.25">
      <c r="B10" s="11" t="s">
        <v>64</v>
      </c>
      <c r="C10" s="11" t="s">
        <v>57</v>
      </c>
      <c r="D10" s="11" t="s">
        <v>58</v>
      </c>
      <c r="E10" s="11" t="s">
        <v>59</v>
      </c>
      <c r="F10" s="11" t="s">
        <v>60</v>
      </c>
      <c r="G10" s="11" t="s">
        <v>62</v>
      </c>
      <c r="H10" s="11" t="s">
        <v>61</v>
      </c>
    </row>
    <row r="11" spans="2:8" x14ac:dyDescent="0.25">
      <c r="B11" s="6">
        <v>1</v>
      </c>
      <c r="C11" s="1" t="s">
        <v>80</v>
      </c>
      <c r="D11" s="1" t="s">
        <v>81</v>
      </c>
      <c r="E11" s="1" t="s">
        <v>82</v>
      </c>
      <c r="F11" s="1" t="s">
        <v>83</v>
      </c>
      <c r="G11" s="1" t="s">
        <v>84</v>
      </c>
      <c r="H11" s="1" t="s">
        <v>85</v>
      </c>
    </row>
    <row r="12" spans="2:8" x14ac:dyDescent="0.25">
      <c r="B12" s="6">
        <v>2</v>
      </c>
      <c r="C12" s="1" t="s">
        <v>86</v>
      </c>
      <c r="D12" s="1" t="s">
        <v>87</v>
      </c>
      <c r="E12" s="1" t="s">
        <v>88</v>
      </c>
      <c r="F12" s="1" t="s">
        <v>89</v>
      </c>
      <c r="G12" s="1" t="s">
        <v>90</v>
      </c>
      <c r="H12" s="1" t="s">
        <v>91</v>
      </c>
    </row>
    <row r="13" spans="2:8" x14ac:dyDescent="0.25">
      <c r="B13" s="6">
        <v>3</v>
      </c>
      <c r="C13" s="1" t="s">
        <v>92</v>
      </c>
      <c r="D13" s="1" t="s">
        <v>93</v>
      </c>
      <c r="E13" s="1" t="s">
        <v>94</v>
      </c>
      <c r="F13" s="1" t="s">
        <v>95</v>
      </c>
      <c r="G13" s="1" t="s">
        <v>96</v>
      </c>
      <c r="H13" s="1" t="s">
        <v>97</v>
      </c>
    </row>
    <row r="14" spans="2:8" x14ac:dyDescent="0.25">
      <c r="B14" s="6">
        <v>4</v>
      </c>
      <c r="C14" s="1" t="s">
        <v>63</v>
      </c>
      <c r="D14" s="1" t="s">
        <v>98</v>
      </c>
      <c r="E14" s="1" t="s">
        <v>99</v>
      </c>
      <c r="F14" s="1" t="s">
        <v>100</v>
      </c>
      <c r="G14" s="1" t="s">
        <v>101</v>
      </c>
      <c r="H14" s="1" t="s">
        <v>102</v>
      </c>
    </row>
    <row r="15" spans="2:8" ht="15.75" x14ac:dyDescent="0.25">
      <c r="B15" s="23" t="s">
        <v>103</v>
      </c>
      <c r="C15" s="24"/>
      <c r="D15" s="24"/>
      <c r="E15" s="24"/>
      <c r="F15" s="24"/>
      <c r="G15" s="24"/>
      <c r="H15" s="24"/>
    </row>
    <row r="16" spans="2:8" ht="15.75" x14ac:dyDescent="0.25">
      <c r="B16" s="12" t="s">
        <v>65</v>
      </c>
      <c r="C16" s="12" t="s">
        <v>57</v>
      </c>
      <c r="D16" s="12" t="s">
        <v>58</v>
      </c>
      <c r="E16" s="12" t="s">
        <v>59</v>
      </c>
      <c r="F16" s="12" t="s">
        <v>60</v>
      </c>
      <c r="G16" s="12" t="s">
        <v>62</v>
      </c>
      <c r="H16" s="12" t="s">
        <v>61</v>
      </c>
    </row>
    <row r="17" spans="2:8" x14ac:dyDescent="0.25">
      <c r="B17" s="6" t="s">
        <v>35</v>
      </c>
      <c r="C17" s="1" t="s">
        <v>104</v>
      </c>
      <c r="D17" s="1" t="s">
        <v>105</v>
      </c>
      <c r="E17" s="1" t="s">
        <v>105</v>
      </c>
      <c r="F17" s="1" t="s">
        <v>106</v>
      </c>
      <c r="G17" s="1" t="s">
        <v>107</v>
      </c>
      <c r="H17" s="1" t="s">
        <v>107</v>
      </c>
    </row>
    <row r="18" spans="2:8" x14ac:dyDescent="0.25">
      <c r="B18" s="6" t="s">
        <v>31</v>
      </c>
      <c r="C18" s="1" t="s">
        <v>108</v>
      </c>
      <c r="D18" s="1" t="s">
        <v>109</v>
      </c>
      <c r="E18" s="1" t="s">
        <v>109</v>
      </c>
      <c r="F18" s="1" t="s">
        <v>110</v>
      </c>
      <c r="G18" s="1" t="s">
        <v>111</v>
      </c>
      <c r="H18" s="1" t="s">
        <v>111</v>
      </c>
    </row>
    <row r="19" spans="2:8" x14ac:dyDescent="0.25">
      <c r="B19" s="6" t="s">
        <v>37</v>
      </c>
      <c r="C19" s="1" t="s">
        <v>112</v>
      </c>
      <c r="D19" s="1" t="s">
        <v>113</v>
      </c>
      <c r="E19" s="1" t="s">
        <v>113</v>
      </c>
      <c r="F19" s="1" t="s">
        <v>114</v>
      </c>
      <c r="G19" s="1" t="s">
        <v>115</v>
      </c>
      <c r="H19" s="1" t="s">
        <v>115</v>
      </c>
    </row>
    <row r="20" spans="2:8" x14ac:dyDescent="0.25">
      <c r="B20" s="6" t="s">
        <v>66</v>
      </c>
      <c r="C20" s="1" t="s">
        <v>108</v>
      </c>
      <c r="D20" s="1" t="s">
        <v>109</v>
      </c>
      <c r="E20" s="1" t="s">
        <v>109</v>
      </c>
      <c r="F20" s="1" t="s">
        <v>110</v>
      </c>
      <c r="G20" s="1" t="s">
        <v>111</v>
      </c>
      <c r="H20" s="1" t="s">
        <v>111</v>
      </c>
    </row>
    <row r="21" spans="2:8" x14ac:dyDescent="0.25">
      <c r="B21" s="6" t="s">
        <v>67</v>
      </c>
      <c r="C21" s="1" t="s">
        <v>104</v>
      </c>
      <c r="D21" s="1" t="s">
        <v>105</v>
      </c>
      <c r="E21" s="1" t="s">
        <v>105</v>
      </c>
      <c r="F21" s="1" t="s">
        <v>106</v>
      </c>
      <c r="G21" s="1" t="s">
        <v>107</v>
      </c>
      <c r="H21" s="1" t="s">
        <v>107</v>
      </c>
    </row>
    <row r="22" spans="2:8" x14ac:dyDescent="0.25">
      <c r="B22" s="6" t="s">
        <v>68</v>
      </c>
      <c r="C22" s="1" t="s">
        <v>104</v>
      </c>
      <c r="D22" s="1" t="s">
        <v>105</v>
      </c>
      <c r="E22" s="1" t="s">
        <v>105</v>
      </c>
      <c r="F22" s="1" t="s">
        <v>106</v>
      </c>
      <c r="G22" s="1" t="s">
        <v>107</v>
      </c>
      <c r="H22" s="1" t="s">
        <v>107</v>
      </c>
    </row>
    <row r="23" spans="2:8" x14ac:dyDescent="0.25">
      <c r="B23" s="6" t="s">
        <v>69</v>
      </c>
      <c r="C23" s="1" t="s">
        <v>108</v>
      </c>
      <c r="D23" s="1" t="s">
        <v>109</v>
      </c>
      <c r="E23" s="1" t="s">
        <v>109</v>
      </c>
      <c r="F23" s="1" t="s">
        <v>110</v>
      </c>
      <c r="G23" s="1" t="s">
        <v>111</v>
      </c>
      <c r="H23" s="1" t="s">
        <v>111</v>
      </c>
    </row>
    <row r="24" spans="2:8" ht="15.75" x14ac:dyDescent="0.25">
      <c r="B24" s="23" t="s">
        <v>116</v>
      </c>
      <c r="C24" s="24"/>
      <c r="D24" s="24"/>
      <c r="E24" s="24"/>
      <c r="F24" s="24"/>
      <c r="G24" s="24"/>
      <c r="H24" s="24"/>
    </row>
    <row r="25" spans="2:8" ht="15.75" x14ac:dyDescent="0.25">
      <c r="B25" s="13" t="s">
        <v>64</v>
      </c>
      <c r="C25" s="13" t="s">
        <v>57</v>
      </c>
      <c r="D25" s="13" t="s">
        <v>58</v>
      </c>
      <c r="E25" s="13" t="s">
        <v>59</v>
      </c>
      <c r="F25" s="13" t="s">
        <v>60</v>
      </c>
      <c r="G25" s="13" t="s">
        <v>62</v>
      </c>
      <c r="H25" s="13" t="s">
        <v>61</v>
      </c>
    </row>
    <row r="26" spans="2:8" x14ac:dyDescent="0.25">
      <c r="B26" s="6">
        <v>1</v>
      </c>
      <c r="C26" s="1" t="s">
        <v>117</v>
      </c>
      <c r="D26" s="1" t="s">
        <v>118</v>
      </c>
      <c r="E26" s="1" t="s">
        <v>119</v>
      </c>
      <c r="F26" s="1" t="s">
        <v>63</v>
      </c>
      <c r="G26" s="1" t="s">
        <v>117</v>
      </c>
      <c r="H26" s="1" t="s">
        <v>63</v>
      </c>
    </row>
    <row r="27" spans="2:8" x14ac:dyDescent="0.25">
      <c r="B27" s="6">
        <v>2</v>
      </c>
      <c r="C27" s="1" t="s">
        <v>63</v>
      </c>
      <c r="D27" s="1" t="s">
        <v>63</v>
      </c>
      <c r="E27" s="1" t="s">
        <v>63</v>
      </c>
      <c r="F27" s="1" t="s">
        <v>63</v>
      </c>
      <c r="G27" s="1" t="s">
        <v>63</v>
      </c>
      <c r="H27" s="1" t="s">
        <v>63</v>
      </c>
    </row>
    <row r="28" spans="2:8" x14ac:dyDescent="0.25">
      <c r="B28" s="6">
        <v>3</v>
      </c>
      <c r="C28" s="1" t="s">
        <v>63</v>
      </c>
      <c r="D28" s="1" t="s">
        <v>63</v>
      </c>
      <c r="E28" s="1" t="s">
        <v>63</v>
      </c>
      <c r="F28" s="1" t="s">
        <v>63</v>
      </c>
      <c r="G28" s="1" t="s">
        <v>63</v>
      </c>
      <c r="H28" s="1" t="s">
        <v>63</v>
      </c>
    </row>
    <row r="29" spans="2:8" x14ac:dyDescent="0.25">
      <c r="B29" s="6">
        <v>4</v>
      </c>
      <c r="C29" s="1" t="s">
        <v>120</v>
      </c>
      <c r="D29" s="1" t="s">
        <v>121</v>
      </c>
      <c r="E29" s="1" t="s">
        <v>122</v>
      </c>
      <c r="F29" s="1" t="s">
        <v>123</v>
      </c>
      <c r="G29" s="1" t="s">
        <v>124</v>
      </c>
      <c r="H29" s="1" t="s">
        <v>123</v>
      </c>
    </row>
    <row r="33" spans="2:8" ht="24" x14ac:dyDescent="0.4">
      <c r="B33" s="26" t="s">
        <v>73</v>
      </c>
      <c r="C33" s="24"/>
      <c r="D33" s="24"/>
      <c r="E33" s="24"/>
      <c r="F33" s="24"/>
      <c r="G33" s="24"/>
      <c r="H33" s="24"/>
    </row>
    <row r="34" spans="2:8" ht="15.75" x14ac:dyDescent="0.25">
      <c r="B34" s="23" t="s">
        <v>76</v>
      </c>
      <c r="C34" s="24"/>
      <c r="D34" s="24"/>
      <c r="E34" s="24"/>
      <c r="F34" s="24"/>
      <c r="G34" s="24"/>
      <c r="H34" s="24"/>
    </row>
    <row r="35" spans="2:8" ht="15.75" x14ac:dyDescent="0.25">
      <c r="B35" s="10" t="s">
        <v>56</v>
      </c>
      <c r="C35" s="10" t="s">
        <v>57</v>
      </c>
      <c r="D35" s="10" t="s">
        <v>58</v>
      </c>
      <c r="E35" s="10" t="s">
        <v>59</v>
      </c>
      <c r="F35" s="10" t="s">
        <v>60</v>
      </c>
      <c r="G35" s="10" t="s">
        <v>61</v>
      </c>
      <c r="H35" s="10" t="s">
        <v>62</v>
      </c>
    </row>
    <row r="36" spans="2:8" x14ac:dyDescent="0.25">
      <c r="B36" s="6" t="s">
        <v>125</v>
      </c>
      <c r="C36" s="1" t="s">
        <v>125</v>
      </c>
      <c r="D36" s="1" t="s">
        <v>126</v>
      </c>
      <c r="E36" s="1" t="s">
        <v>127</v>
      </c>
      <c r="F36" s="1">
        <v>0</v>
      </c>
      <c r="G36" s="1" t="s">
        <v>125</v>
      </c>
      <c r="H36" s="1">
        <v>0</v>
      </c>
    </row>
    <row r="37" spans="2:8" ht="15.75" x14ac:dyDescent="0.25">
      <c r="B37" s="23" t="s">
        <v>79</v>
      </c>
      <c r="C37" s="24"/>
      <c r="D37" s="24"/>
      <c r="E37" s="24"/>
      <c r="F37" s="24"/>
      <c r="G37" s="24"/>
      <c r="H37" s="24"/>
    </row>
    <row r="38" spans="2:8" ht="15.75" x14ac:dyDescent="0.25">
      <c r="B38" s="11" t="s">
        <v>64</v>
      </c>
      <c r="C38" s="11" t="s">
        <v>57</v>
      </c>
      <c r="D38" s="11" t="s">
        <v>58</v>
      </c>
      <c r="E38" s="11" t="s">
        <v>59</v>
      </c>
      <c r="F38" s="11" t="s">
        <v>60</v>
      </c>
      <c r="G38" s="11" t="s">
        <v>62</v>
      </c>
      <c r="H38" s="11" t="s">
        <v>61</v>
      </c>
    </row>
    <row r="39" spans="2:8" x14ac:dyDescent="0.25">
      <c r="B39" s="6">
        <v>1</v>
      </c>
      <c r="C39" s="1" t="s">
        <v>128</v>
      </c>
      <c r="D39" s="1" t="s">
        <v>129</v>
      </c>
      <c r="E39" s="1" t="s">
        <v>130</v>
      </c>
      <c r="F39" s="1" t="s">
        <v>63</v>
      </c>
      <c r="G39" s="1" t="s">
        <v>128</v>
      </c>
      <c r="H39" s="1" t="s">
        <v>63</v>
      </c>
    </row>
    <row r="40" spans="2:8" x14ac:dyDescent="0.25">
      <c r="B40" s="6">
        <v>2</v>
      </c>
      <c r="C40" s="1" t="s">
        <v>131</v>
      </c>
      <c r="D40" s="1" t="s">
        <v>132</v>
      </c>
      <c r="E40" s="1" t="s">
        <v>133</v>
      </c>
      <c r="F40" s="1" t="s">
        <v>63</v>
      </c>
      <c r="G40" s="1" t="s">
        <v>131</v>
      </c>
      <c r="H40" s="1" t="s">
        <v>63</v>
      </c>
    </row>
    <row r="41" spans="2:8" x14ac:dyDescent="0.25">
      <c r="B41" s="6">
        <v>3</v>
      </c>
      <c r="C41" s="1" t="s">
        <v>134</v>
      </c>
      <c r="D41" s="1" t="s">
        <v>135</v>
      </c>
      <c r="E41" s="1" t="s">
        <v>136</v>
      </c>
      <c r="F41" s="1" t="s">
        <v>63</v>
      </c>
      <c r="G41" s="1" t="s">
        <v>134</v>
      </c>
      <c r="H41" s="1" t="s">
        <v>63</v>
      </c>
    </row>
    <row r="42" spans="2:8" x14ac:dyDescent="0.25">
      <c r="B42" s="6">
        <v>4</v>
      </c>
      <c r="C42" s="1" t="s">
        <v>137</v>
      </c>
      <c r="D42" s="1" t="s">
        <v>138</v>
      </c>
      <c r="E42" s="1" t="s">
        <v>139</v>
      </c>
      <c r="F42" s="1" t="s">
        <v>63</v>
      </c>
      <c r="G42" s="1" t="s">
        <v>137</v>
      </c>
      <c r="H42" s="1" t="s">
        <v>63</v>
      </c>
    </row>
    <row r="43" spans="2:8" ht="15.75" x14ac:dyDescent="0.25">
      <c r="B43" s="23" t="s">
        <v>103</v>
      </c>
      <c r="C43" s="24"/>
      <c r="D43" s="24"/>
      <c r="E43" s="24"/>
      <c r="F43" s="24"/>
      <c r="G43" s="24"/>
      <c r="H43" s="24"/>
    </row>
    <row r="44" spans="2:8" ht="15.75" x14ac:dyDescent="0.25">
      <c r="B44" s="12" t="s">
        <v>65</v>
      </c>
      <c r="C44" s="12" t="s">
        <v>57</v>
      </c>
      <c r="D44" s="12" t="s">
        <v>58</v>
      </c>
      <c r="E44" s="12" t="s">
        <v>59</v>
      </c>
      <c r="F44" s="12" t="s">
        <v>60</v>
      </c>
      <c r="G44" s="12" t="s">
        <v>62</v>
      </c>
      <c r="H44" s="12" t="s">
        <v>61</v>
      </c>
    </row>
    <row r="45" spans="2:8" x14ac:dyDescent="0.25">
      <c r="B45" s="6" t="s">
        <v>35</v>
      </c>
      <c r="C45" s="1" t="s">
        <v>140</v>
      </c>
      <c r="D45" s="1" t="s">
        <v>141</v>
      </c>
      <c r="E45" s="1" t="s">
        <v>142</v>
      </c>
      <c r="F45" s="1" t="s">
        <v>63</v>
      </c>
      <c r="G45" s="1" t="s">
        <v>140</v>
      </c>
      <c r="H45" s="1" t="s">
        <v>63</v>
      </c>
    </row>
    <row r="46" spans="2:8" x14ac:dyDescent="0.25">
      <c r="B46" s="6" t="s">
        <v>31</v>
      </c>
      <c r="C46" s="1" t="s">
        <v>143</v>
      </c>
      <c r="D46" s="1" t="s">
        <v>144</v>
      </c>
      <c r="E46" s="1" t="s">
        <v>145</v>
      </c>
      <c r="F46" s="1" t="s">
        <v>63</v>
      </c>
      <c r="G46" s="1" t="s">
        <v>143</v>
      </c>
      <c r="H46" s="1" t="s">
        <v>63</v>
      </c>
    </row>
    <row r="47" spans="2:8" x14ac:dyDescent="0.25">
      <c r="B47" s="6" t="s">
        <v>37</v>
      </c>
      <c r="C47" s="1" t="s">
        <v>146</v>
      </c>
      <c r="D47" s="1" t="s">
        <v>147</v>
      </c>
      <c r="E47" s="1" t="s">
        <v>148</v>
      </c>
      <c r="F47" s="1" t="s">
        <v>63</v>
      </c>
      <c r="G47" s="1" t="s">
        <v>146</v>
      </c>
      <c r="H47" s="1" t="s">
        <v>63</v>
      </c>
    </row>
    <row r="48" spans="2:8" x14ac:dyDescent="0.25">
      <c r="B48" s="6" t="s">
        <v>66</v>
      </c>
      <c r="C48" s="1" t="s">
        <v>143</v>
      </c>
      <c r="D48" s="1" t="s">
        <v>144</v>
      </c>
      <c r="E48" s="1" t="s">
        <v>145</v>
      </c>
      <c r="F48" s="1" t="s">
        <v>63</v>
      </c>
      <c r="G48" s="1" t="s">
        <v>143</v>
      </c>
      <c r="H48" s="1" t="s">
        <v>63</v>
      </c>
    </row>
    <row r="49" spans="2:8" x14ac:dyDescent="0.25">
      <c r="B49" s="6" t="s">
        <v>67</v>
      </c>
      <c r="C49" s="1" t="s">
        <v>149</v>
      </c>
      <c r="D49" s="1" t="s">
        <v>150</v>
      </c>
      <c r="E49" s="1" t="s">
        <v>151</v>
      </c>
      <c r="F49" s="1" t="s">
        <v>63</v>
      </c>
      <c r="G49" s="1" t="s">
        <v>149</v>
      </c>
      <c r="H49" s="1" t="s">
        <v>63</v>
      </c>
    </row>
    <row r="50" spans="2:8" x14ac:dyDescent="0.25">
      <c r="B50" s="6" t="s">
        <v>68</v>
      </c>
      <c r="C50" s="1" t="s">
        <v>140</v>
      </c>
      <c r="D50" s="1" t="s">
        <v>141</v>
      </c>
      <c r="E50" s="1" t="s">
        <v>142</v>
      </c>
      <c r="F50" s="1" t="s">
        <v>63</v>
      </c>
      <c r="G50" s="1" t="s">
        <v>140</v>
      </c>
      <c r="H50" s="1" t="s">
        <v>63</v>
      </c>
    </row>
    <row r="51" spans="2:8" x14ac:dyDescent="0.25">
      <c r="B51" s="6" t="s">
        <v>69</v>
      </c>
      <c r="C51" s="1" t="s">
        <v>152</v>
      </c>
      <c r="D51" s="1" t="s">
        <v>153</v>
      </c>
      <c r="E51" s="1" t="s">
        <v>154</v>
      </c>
      <c r="F51" s="1" t="s">
        <v>63</v>
      </c>
      <c r="G51" s="1" t="s">
        <v>152</v>
      </c>
      <c r="H51" s="1" t="s">
        <v>63</v>
      </c>
    </row>
    <row r="52" spans="2:8" ht="15.75" x14ac:dyDescent="0.25">
      <c r="B52" s="23" t="s">
        <v>116</v>
      </c>
      <c r="C52" s="24"/>
      <c r="D52" s="24"/>
      <c r="E52" s="24"/>
      <c r="F52" s="24"/>
      <c r="G52" s="24"/>
      <c r="H52" s="24"/>
    </row>
    <row r="53" spans="2:8" ht="15.75" x14ac:dyDescent="0.25">
      <c r="B53" s="13" t="s">
        <v>64</v>
      </c>
      <c r="C53" s="13" t="s">
        <v>57</v>
      </c>
      <c r="D53" s="13" t="s">
        <v>58</v>
      </c>
      <c r="E53" s="13" t="s">
        <v>59</v>
      </c>
      <c r="F53" s="13" t="s">
        <v>60</v>
      </c>
      <c r="G53" s="13" t="s">
        <v>62</v>
      </c>
      <c r="H53" s="13" t="s">
        <v>61</v>
      </c>
    </row>
    <row r="54" spans="2:8" x14ac:dyDescent="0.25">
      <c r="B54" s="6">
        <v>1</v>
      </c>
      <c r="C54" s="1" t="s">
        <v>117</v>
      </c>
      <c r="D54" s="1" t="s">
        <v>118</v>
      </c>
      <c r="E54" s="1" t="s">
        <v>119</v>
      </c>
      <c r="F54" s="1" t="s">
        <v>63</v>
      </c>
      <c r="G54" s="1" t="s">
        <v>117</v>
      </c>
      <c r="H54" s="1" t="s">
        <v>63</v>
      </c>
    </row>
    <row r="55" spans="2:8" x14ac:dyDescent="0.25">
      <c r="B55" s="6">
        <v>2</v>
      </c>
      <c r="C55" s="1" t="s">
        <v>155</v>
      </c>
      <c r="D55" s="1" t="s">
        <v>156</v>
      </c>
      <c r="E55" s="1" t="s">
        <v>157</v>
      </c>
      <c r="F55" s="1" t="s">
        <v>63</v>
      </c>
      <c r="G55" s="1" t="s">
        <v>155</v>
      </c>
      <c r="H55" s="1" t="s">
        <v>63</v>
      </c>
    </row>
    <row r="56" spans="2:8" x14ac:dyDescent="0.25">
      <c r="B56" s="6">
        <v>3</v>
      </c>
      <c r="C56" s="1" t="s">
        <v>63</v>
      </c>
      <c r="D56" s="1" t="s">
        <v>63</v>
      </c>
      <c r="E56" s="1" t="s">
        <v>63</v>
      </c>
      <c r="F56" s="1" t="s">
        <v>63</v>
      </c>
      <c r="G56" s="1" t="s">
        <v>63</v>
      </c>
      <c r="H56" s="1" t="s">
        <v>63</v>
      </c>
    </row>
    <row r="57" spans="2:8" x14ac:dyDescent="0.25">
      <c r="B57" s="6">
        <v>4</v>
      </c>
      <c r="C57" s="1" t="s">
        <v>158</v>
      </c>
      <c r="D57" s="1" t="s">
        <v>121</v>
      </c>
      <c r="E57" s="1" t="s">
        <v>122</v>
      </c>
      <c r="F57" s="1" t="s">
        <v>63</v>
      </c>
      <c r="G57" s="1" t="s">
        <v>158</v>
      </c>
      <c r="H57" s="1" t="s">
        <v>63</v>
      </c>
    </row>
  </sheetData>
  <mergeCells count="11">
    <mergeCell ref="B33:H33"/>
    <mergeCell ref="B34:H34"/>
    <mergeCell ref="B37:H37"/>
    <mergeCell ref="B43:H43"/>
    <mergeCell ref="B52:H52"/>
    <mergeCell ref="B24:H24"/>
    <mergeCell ref="B2:H2"/>
    <mergeCell ref="B5:H5"/>
    <mergeCell ref="B6:H6"/>
    <mergeCell ref="B9:H9"/>
    <mergeCell ref="B15:H15"/>
  </mergeCells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bae8b572-e201-4e80-ac20-efad2c664186.png"/><Relationship Id="matriz" Type="http://schemas.openxmlformats.org/officeDocument/2006/relationships/image" Target="images/aa673481-f12e-4bb4-b779-b2e35bdd2b72.png"/><Relationship Id="diagrama" Type="http://schemas.openxmlformats.org/officeDocument/2006/relationships/image" Target="images/91e589be-c4e1-4eff-91ed-0a9140c6524d.png"/><Relationship Id="barra" Type="http://schemas.openxmlformats.org/officeDocument/2006/relationships/image" Target="images/4db6672c-ceda-43ef-9df0-aa4b41174c02.png"/><Relationship Id="limpar" Type="http://schemas.openxmlformats.org/officeDocument/2006/relationships/image" Target="images/a8213fad-e5ec-4d9c-b166-32901a60f310.png"/><Relationship Id="linha" Type="http://schemas.openxmlformats.org/officeDocument/2006/relationships/image" Target="images/63f3185d-8d14-4e20-a5f9-9af9a52eeab4.png"/><Relationship Id="shunt" Type="http://schemas.openxmlformats.org/officeDocument/2006/relationships/image" Target="images/d8211029-4b98-4198-9c63-73f63c05c9d8.png"/><Relationship Id="exportar" Type="http://schemas.openxmlformats.org/officeDocument/2006/relationships/image" Target="images/2478965a-e792-4ea9-9900-13cf39294477.png"/><Relationship Id="transformador_3_enrolamentos" Type="http://schemas.openxmlformats.org/officeDocument/2006/relationships/image" Target="images/68a2df50-773f-4455-8a3c-fe84a1d9f715.png"/><Relationship Id="layout" Type="http://schemas.openxmlformats.org/officeDocument/2006/relationships/image" Target="images/13c64a77-ed35-4410-8560-73d1da65d9d2.png"/><Relationship Id="desenvolvedor" Type="http://schemas.openxmlformats.org/officeDocument/2006/relationships/image" Target="images/4ffd469f-65f9-4732-993a-3fa759a8c4fa.png"/><Relationship Id="relatorio" Type="http://schemas.openxmlformats.org/officeDocument/2006/relationships/image" Target="images/5190130f-d5c5-4955-bd9c-336daac3a64f.png"/><Relationship Id="github" Type="http://schemas.openxmlformats.org/officeDocument/2006/relationships/image" Target="images/ee7e66b1-b023-4eb9-8e7c-78d58a624b4c.png"/><Relationship Id="maquina" Type="http://schemas.openxmlformats.org/officeDocument/2006/relationships/image" Target="images/813161f6-112f-4e8a-a5c4-e14eaf8668e6.png"/><Relationship Id="informacoes" Type="http://schemas.openxmlformats.org/officeDocument/2006/relationships/image" Target="images/88fbc923-1eeb-47d1-b565-f5b1d5d46399.png"/><Relationship Id="configuracoes" Type="http://schemas.openxmlformats.org/officeDocument/2006/relationships/image" Target="images/d11c7014-a4dc-4fc2-9a5b-ffc4cd2676d9.png"/><Relationship Id="carregar" Type="http://schemas.openxmlformats.org/officeDocument/2006/relationships/image" Target="images/08bb043b-7f32-425c-bd0b-dccf53429184.png"/><Relationship Id="salvar" Type="http://schemas.openxmlformats.org/officeDocument/2006/relationships/image" Target="images/ca3040c9-c7c8-4b97-a606-a26a58a37d31.png"/><Relationship Id="rodar" Type="http://schemas.openxmlformats.org/officeDocument/2006/relationships/image" Target="images/c1d3a803-db8a-48d1-9f4f-bab23badf5a1.png"/><Relationship Id="manual" Type="http://schemas.openxmlformats.org/officeDocument/2006/relationships/image" Target="images/92756f4f-8f9e-40de-8b3c-18d92de7c3f0.png"/><Relationship Id="anafas_" Type="http://schemas.openxmlformats.org/officeDocument/2006/relationships/image" Target="images/b938402b-23f4-4796-9995-70e312e503e6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large" onAction="b_anafas" image="anafas_"/>
          <button id="layout" label="Gerar Layout" size="large" onAction="b_layout" image="layout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Configurações</vt:lpstr>
      <vt:lpstr>Barramentos</vt:lpstr>
      <vt:lpstr>Transformadores</vt:lpstr>
      <vt:lpstr>Linhas de Transmissão</vt:lpstr>
      <vt:lpstr>Máquinas</vt:lpstr>
      <vt:lpstr>Carga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2026-04-16T14:09:06Z</dcterms:modified>
</cp:coreProperties>
</file>
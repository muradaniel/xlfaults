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87a48678b112429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danie\Documentos\GitHub\xlfaults\"/>
    </mc:Choice>
  </mc:AlternateContent>
  <xr:revisionPtr revIDLastSave="0" documentId="13_ncr:1_{3D9B7C2C-AB75-4728-A256-404956EA89F4}" xr6:coauthVersionLast="47" xr6:coauthVersionMax="47" xr10:uidLastSave="{00000000-0000-0000-0000-000000000000}"/>
  <bookViews>
    <workbookView xWindow="-120" yWindow="-120" windowWidth="24240" windowHeight="13020" tabRatio="497" firstSheet="5" activeTab="5" xr2:uid="{2D99AEA3-E3D3-48D2-BF79-9D8C0154BEA9}"/>
  </bookViews>
  <sheets>
    <sheet name="Teste" sheetId="16" state="hidden" r:id="rId1"/>
    <sheet name="Oculto" sheetId="14" r:id="rId2"/>
    <sheet name="Pendências" sheetId="15" r:id="rId3"/>
    <sheet name="Configurações" sheetId="13" r:id="rId4"/>
    <sheet name="Barramentos" sheetId="3" r:id="rId5"/>
    <sheet name="Transformadores" sheetId="4" r:id="rId6"/>
    <sheet name="Linhas de Transmissão" sheetId="5" r:id="rId7"/>
    <sheet name="Máquinas" sheetId="6" r:id="rId8"/>
    <sheet name="Carga" sheetId="7" r:id="rId9"/>
    <sheet name="Transformadores 3 Enrolamentos" sheetId="8" state="hidden" r:id="rId10"/>
    <sheet name="Y Barra (+) (-)" sheetId="1" r:id="rId11"/>
    <sheet name="Z Barra (+) (-)" sheetId="9" r:id="rId12"/>
    <sheet name="Y Barra (0)" sheetId="10" r:id="rId13"/>
    <sheet name="Z Barra (0)" sheetId="11" r:id="rId14"/>
    <sheet name="Relatório" sheetId="12" r:id="rId15"/>
  </sheets>
  <definedNames>
    <definedName name="_xleta.BASE" hidden="1" xlm="1">#NAME?</definedName>
    <definedName name="_xleta.POWER" hidden="1" xlm="1">#NAME?</definedName>
    <definedName name="Potencia_Base" comment="Contante do valor de potência base">'Configurações'!$I$1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3" l="1"/>
  <c r="F4" i="13"/>
  <c r="E3" i="13"/>
  <c r="F3" i="13"/>
  <c r="O2" i="6"/>
  <c r="O3" i="6"/>
  <c r="M3" i="4"/>
  <c r="N3" i="4"/>
  <c r="O3" i="4"/>
  <c r="P3" i="4"/>
  <c r="E2" i="13"/>
  <c r="F2" i="13"/>
  <c r="P2" i="4" l="1"/>
  <c r="O2" i="4"/>
  <c r="N2" i="4"/>
  <c r="M2" i="4"/>
  <c r="M2" i="6"/>
  <c r="M3" i="6"/>
  <c r="N3" i="6"/>
  <c r="P3" i="6"/>
  <c r="Q3" i="6"/>
  <c r="R3" i="6"/>
  <c r="R2" i="6" l="1"/>
  <c r="Q2" i="6"/>
  <c r="P2" i="6"/>
  <c r="N2" i="6"/>
  <c r="M2" i="5"/>
  <c r="L2" i="5"/>
  <c r="K2" i="5"/>
  <c r="J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tc={D8345C3D-435F-4715-A041-E4B7FFE4C8F9}</author>
  </authors>
  <commentList>
    <comment ref="L1" authorId="0" shapeId="0" xr:uid="{D8345C3D-435F-4715-A041-E4B7FFE4C8F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Defasagem do secundário em relação ao primário.</t>
      </text>
    </comment>
  </commentList>
</comments>
</file>

<file path=xl/sharedStrings.xml><?xml version="1.0" encoding="utf-8"?>
<sst xmlns="http://schemas.openxmlformats.org/spreadsheetml/2006/main" count="180" uniqueCount="108">
  <si>
    <t>Nome</t>
  </si>
  <si>
    <t>Número</t>
  </si>
  <si>
    <t>Tensão (kV)</t>
  </si>
  <si>
    <t>Barra de</t>
  </si>
  <si>
    <t>Barra para</t>
  </si>
  <si>
    <t>Potência Nominal (MVA)</t>
  </si>
  <si>
    <t>R1 (%)</t>
  </si>
  <si>
    <t>R0 (%)</t>
  </si>
  <si>
    <t>X1 (%)</t>
  </si>
  <si>
    <t>X0 (%)</t>
  </si>
  <si>
    <t>R1 (pu) Base</t>
  </si>
  <si>
    <t>R0 (pu) Base</t>
  </si>
  <si>
    <t>X1 (pu) Base</t>
  </si>
  <si>
    <t>X0 (pu) Base</t>
  </si>
  <si>
    <t>Tensão Primário (kV)</t>
  </si>
  <si>
    <t>Tensão Secundário (kV)</t>
  </si>
  <si>
    <t>XN P (%)</t>
  </si>
  <si>
    <t>XN S (%)</t>
  </si>
  <si>
    <t>Tipo de Conexão</t>
  </si>
  <si>
    <t>XN P (pu) Base</t>
  </si>
  <si>
    <t>XN S (pu) Base</t>
  </si>
  <si>
    <t>Tipo de Máquina</t>
  </si>
  <si>
    <t>Barra Conectada</t>
  </si>
  <si>
    <t>XN (%)</t>
  </si>
  <si>
    <t>XN (pu) Base</t>
  </si>
  <si>
    <t>Barra 2</t>
  </si>
  <si>
    <t>Barra 1</t>
  </si>
  <si>
    <t>Tipo de Curto Circuito</t>
  </si>
  <si>
    <t>Barra de Ocorrência</t>
  </si>
  <si>
    <t>Barra 3</t>
  </si>
  <si>
    <t>Barra 4</t>
  </si>
  <si>
    <t>G1</t>
  </si>
  <si>
    <t>Gerador</t>
  </si>
  <si>
    <t>Potência Ativa (MW)</t>
  </si>
  <si>
    <t>Potência Reativa (MVAr)</t>
  </si>
  <si>
    <t>Potência Base (MVA)</t>
  </si>
  <si>
    <t>Linha 2-3</t>
  </si>
  <si>
    <t>Yt</t>
  </si>
  <si>
    <t>G4</t>
  </si>
  <si>
    <t>Trafo 1</t>
  </si>
  <si>
    <t>Trafo 2</t>
  </si>
  <si>
    <t>Adicionar resistência de neutro no transformador</t>
  </si>
  <si>
    <t>1)</t>
  </si>
  <si>
    <t>2)</t>
  </si>
  <si>
    <t>Caso o módulo do fasor seja zero, zerar tambem a parte angular do fasor</t>
  </si>
  <si>
    <t>2.1)</t>
  </si>
  <si>
    <t>Nessa função tem a opção de deixar o fasor em pu OU real</t>
  </si>
  <si>
    <t>3)</t>
  </si>
  <si>
    <t>Preencher com zeros as celulas em branco caso o arrombado ão faça</t>
  </si>
  <si>
    <t>4)</t>
  </si>
  <si>
    <t>Conferir se a impedância de curto está funcional</t>
  </si>
  <si>
    <t>5)</t>
  </si>
  <si>
    <t>Incluir trafo defasador</t>
  </si>
  <si>
    <t>5.1)</t>
  </si>
  <si>
    <t>6)</t>
  </si>
  <si>
    <t>Incluir o diagrama</t>
  </si>
  <si>
    <t>6.1)</t>
  </si>
  <si>
    <t>Linearizar o diagrama</t>
  </si>
  <si>
    <t>7)</t>
  </si>
  <si>
    <t>Bloquear colunas com fómulas</t>
  </si>
  <si>
    <t>RN (%)</t>
  </si>
  <si>
    <t>RN (pu) Base</t>
  </si>
  <si>
    <t>8)</t>
  </si>
  <si>
    <t>Acertar Fórmulas da Carga</t>
  </si>
  <si>
    <t>Real</t>
  </si>
  <si>
    <t>Monofásico</t>
  </si>
  <si>
    <t>0.0000-26.8750j</t>
  </si>
  <si>
    <t>0.0000+21.8750j</t>
  </si>
  <si>
    <t>0.0000+0.0000j</t>
  </si>
  <si>
    <t>0.0000-31.8750j</t>
  </si>
  <si>
    <t>0.0000+10.0000j</t>
  </si>
  <si>
    <t>0.0000-35.0000j</t>
  </si>
  <si>
    <t>0.0000+25.0000j</t>
  </si>
  <si>
    <t>0.0000-29.0000j</t>
  </si>
  <si>
    <t>0.0000+0.1371j</t>
  </si>
  <si>
    <t>0.0000+0.1227j</t>
  </si>
  <si>
    <t>0.0000+0.0912j</t>
  </si>
  <si>
    <t>0.0000+0.0787j</t>
  </si>
  <si>
    <t>0.0000+0.1507j</t>
  </si>
  <si>
    <t>0.0000+0.1121j</t>
  </si>
  <si>
    <t>0.0000+0.0966j</t>
  </si>
  <si>
    <t>0.0000+0.1577j</t>
  </si>
  <si>
    <t>0.0000+0.1360j</t>
  </si>
  <si>
    <t>0.0000+0.1517j</t>
  </si>
  <si>
    <t>0.0000+5.0000j</t>
  </si>
  <si>
    <t>0.0000-33.0000j</t>
  </si>
  <si>
    <t>Yt-Yt</t>
  </si>
  <si>
    <t>IEEE 4 Barras</t>
  </si>
  <si>
    <t>0.0000-30.0000j</t>
  </si>
  <si>
    <t>9)</t>
  </si>
  <si>
    <t>Remover colunas nans de todas as tabelas, podem ocasionar erros...</t>
  </si>
  <si>
    <t>Resistência de Falta (Ω)</t>
  </si>
  <si>
    <t>Reatância de Falta (Ω)</t>
  </si>
  <si>
    <t>Reatância de Falta (pu)</t>
  </si>
  <si>
    <t>Resistência de Falta (pu)</t>
  </si>
  <si>
    <t xml:space="preserve">    </t>
  </si>
  <si>
    <t>Defasagem (°)</t>
  </si>
  <si>
    <t>Yt-D</t>
  </si>
  <si>
    <t>0.0000-5.0000j</t>
  </si>
  <si>
    <t>0.0000+0.0314j</t>
  </si>
  <si>
    <t>0.0000+0.3650j</t>
  </si>
  <si>
    <t>0.0000+0.1650j</t>
  </si>
  <si>
    <t>0.0000+0.1250j</t>
  </si>
  <si>
    <t>Incluir Trafo com tap variavel ???</t>
  </si>
  <si>
    <t>Bifásico-Terra</t>
  </si>
  <si>
    <t>Trifásico</t>
  </si>
  <si>
    <t>10)</t>
  </si>
  <si>
    <t>Exportar valors de curto, verificar fasor )&lt;0°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</si>
</sst>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9"/>
      <color indexed="8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2" borderId="1" xfId="0" applyFont="1" applyFill="1" applyBorder="1"/>
    <xf numFmtId="0" fontId="2" fillId="2" borderId="2" xfId="0" applyFont="1" applyFill="1" applyBorder="1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3" borderId="0" xfId="0" applyFill="1"/>
  </cellXfs>
  <cellStyles count="1">
    <cellStyle name="Normal" xfId="0" builtinId="0"/>
  </cellStyles>
  <dxfs count="81"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aniel Murad de Freitas" id="{427EDA70-F2A6-43BD-9A42-79A0A53CE1F7}" userId="S::dmurad@ons.org.br::f05ba70b-57ff-49f3-8126-16d576d91d17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3FD222-520A-4DD8-BE18-987EE612A9D0}" name="Configurações" displayName="Configurações" ref="A1:F4" insertRowShift="1" totalsRowShown="0" headerRowDxfId="62" dataDxfId="61">
  <autoFilter ref="A1:F4" xr:uid="{193FD222-520A-4DD8-BE18-987EE612A9D0}"/>
  <tableColumns count="6">
    <tableColumn id="3" xr3:uid="{CA127CF5-E49A-4A9B-B187-4761AA1A79D7}" name="Tipo de Curto Circuito" dataDxfId="60"/>
    <tableColumn id="4" xr3:uid="{88F28AA7-C36A-4434-AD6B-50BE92E74F4D}" name="Barra de Ocorrência" dataDxfId="59"/>
    <tableColumn id="1" xr3:uid="{F4241A51-9F4A-4C52-8A84-2A790858DBF2}" name="Resistência de Falta (Ω)" dataDxfId="58"/>
    <tableColumn id="5" xr3:uid="{27F9348A-202C-4C0A-A004-3C442352EC0A}" name="Reatância de Falta (Ω)" dataDxfId="57"/>
    <tableColumn id="6" xr3:uid="{1BF22A3B-7D9D-4AC4-95DB-628DCE968BE5}" name="Resistência de Falta (pu)" dataDxfId="56">
      <calculatedColumnFormula>Configurações[[#This Row],[Resistência de Falta (Ω)]] /
(
POWER(
_xlfn.XLOOKUP(Configurações[[#This Row],[Barra de Ocorrência]],Barramentos[Número],Barramentos[Tensão (kV)],"-",0),
2
)
/Potencia_Base
)</calculatedColumnFormula>
    </tableColumn>
    <tableColumn id="2" xr3:uid="{FC313323-B754-419A-A51D-9355F8FB163F}" name="Reatância de Falta (pu)" dataDxfId="55">
      <calculatedColumnFormula>Configurações[[#This Row],[Reatância de Falta (Ω)]] /
(
POWER(
_xlfn.XLOOKUP(Configurações[[#This Row],[Barra de Ocorrência]],Barramentos[Número],Barramentos[Tensão (kV)],"-",0),
2
)
/Potencia_Base
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5A231E-D573-421A-8DE0-86DC8EC5B091}" name="Barramentos" displayName="Barramentos" comment="Tabela de cadastro de barramentos" ref="A1:C5" totalsRowShown="0" dataDxfId="53">
  <autoFilter ref="A1:C5" xr:uid="{185A231E-D573-421A-8DE0-86DC8EC5B091}"/>
  <tableColumns count="3">
    <tableColumn id="1" xr3:uid="{8EBD12C1-4E78-43A6-AE95-30F1337B03D1}" name="Nome" dataDxfId="52"/>
    <tableColumn id="2" xr3:uid="{CFD29857-E1CA-4766-A849-933A0A451513}" name="Número" dataDxfId="51"/>
    <tableColumn id="3" xr3:uid="{B100B757-52E1-499F-9BC6-78F92CB8E714}" name="Tensão (kV)" dataDxfId="50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AC50ED-6DE4-4C38-93EE-BDF3497EA246}" name="Transformadores" displayName="Transformadores" comment="Tabela de cadastro de transformadores" ref="A1:P3" totalsRowShown="0" dataDxfId="79">
  <autoFilter ref="A1:P3" xr:uid="{A4AC50ED-6DE4-4C38-93EE-BDF3497EA246}"/>
  <tableColumns count="16">
    <tableColumn id="1" xr3:uid="{39101201-31D4-4805-BA09-578CF4254661}" name="Nome" dataDxfId="78"/>
    <tableColumn id="2" xr3:uid="{82F12B74-9B8E-4129-9D60-29194591E977}" name="Potência Nominal (MVA)" dataDxfId="77"/>
    <tableColumn id="3" xr3:uid="{3676778F-0DD3-4FF1-ABF3-91F631C97AB9}" name="Barra de" dataDxfId="76"/>
    <tableColumn id="4" xr3:uid="{85CA93BC-10AF-4454-9E5C-AB0AA858497E}" name="Tensão Primário (kV)" dataDxfId="75"/>
    <tableColumn id="5" xr3:uid="{F6BF0648-8461-4D3C-BAF8-B44FF50EBC42}" name="Barra para" dataDxfId="74"/>
    <tableColumn id="6" xr3:uid="{788BEFB8-3595-4644-A922-A3C31BA8827C}" name="Tensão Secundário (kV)" dataDxfId="73"/>
    <tableColumn id="7" xr3:uid="{B0A73F71-8999-46E8-8E3D-7A74ED6AD1DE}" name="X1 (%)" dataDxfId="72"/>
    <tableColumn id="8" xr3:uid="{683A169E-13B2-47A8-905B-31A9A7946BFF}" name="X0 (%)" dataDxfId="71"/>
    <tableColumn id="9" xr3:uid="{0CED62B1-AB9E-472F-B905-855FCDDA5621}" name="XN P (%)" dataDxfId="70"/>
    <tableColumn id="10" xr3:uid="{5A25097B-1431-4425-93D5-7DA14A630D4D}" name="XN S (%)" dataDxfId="69"/>
    <tableColumn id="11" xr3:uid="{17BC764E-AC0C-41D2-A895-E25CF32BD66D}" name="Tipo de Conexão" dataDxfId="68"/>
    <tableColumn id="16" xr3:uid="{C26B22AC-395A-4831-B51C-EDF601536FBA}" name="Defasagem (°)" dataDxfId="67"/>
    <tableColumn id="12" xr3:uid="{946F0932-D26E-4D0F-89EC-C2C6C61F8B7C}" name="X1 (pu) Base" dataDxfId="66">
      <calculatedColumnFormula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3" xr3:uid="{13A0D8F6-C31A-4782-903B-6FB74BEEA8AC}" name="X0 (pu) Base" dataDxfId="65">
      <calculatedColumnFormula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4" xr3:uid="{0AA1477E-C772-4DAD-9457-DF0855AEBD1C}" name="XN P (pu) Base" dataDxfId="64">
      <calculatedColumnFormula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5" xr3:uid="{29C76F69-B515-4019-BC13-A0CA5CE81B5A}" name="XN S (pu) Base" dataDxfId="63">
      <calculatedColumnFormula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6B18B1-E121-4D7E-AA00-B30E64F151BF}" name="Linhas" displayName="Linhas" comment="tabela de cadastro de linhas de transmissão" ref="A1:M2" totalsRowShown="0" dataDxfId="48">
  <autoFilter ref="A1:M2" xr:uid="{4C6B18B1-E121-4D7E-AA00-B30E64F151BF}"/>
  <tableColumns count="13">
    <tableColumn id="1" xr3:uid="{30120507-59B7-4E39-9736-DD004A4CF5CB}" name="Nome" dataDxfId="47"/>
    <tableColumn id="2" xr3:uid="{AB8230B4-9A4A-44EF-BB87-C4CACBD18C5F}" name="Barra de" dataDxfId="46"/>
    <tableColumn id="3" xr3:uid="{B4EB3D4B-781C-4650-BEEA-30E6D7A81A35}" name="Barra para" dataDxfId="45"/>
    <tableColumn id="4" xr3:uid="{330EF97A-C5A9-4C11-9A8E-CE8C64A31B98}" name="Tensão (kV)" dataDxfId="44"/>
    <tableColumn id="5" xr3:uid="{E8D819A1-6394-472E-9E16-3B2EA093E29D}" name="Potência Nominal (MVA)" dataDxfId="43"/>
    <tableColumn id="6" xr3:uid="{F11529B5-BE00-42BC-890E-64E0E6AFF6F1}" name="R1 (%)" dataDxfId="42"/>
    <tableColumn id="7" xr3:uid="{CFED6F8E-5D17-4662-ACC5-C3E2ABE880FB}" name="R0 (%)" dataDxfId="41"/>
    <tableColumn id="8" xr3:uid="{7430D406-FE3E-4B08-BB6D-3A8D932E918D}" name="X1 (%)" dataDxfId="40"/>
    <tableColumn id="9" xr3:uid="{94284ABF-4FFF-4BE1-B200-614B09A8B34C}" name="X0 (%)" dataDxfId="39"/>
    <tableColumn id="10" xr3:uid="{C5D7E913-E161-4147-8CA6-551A69411E75}" name="R1 (pu) Base" dataDxfId="38">
      <calculatedColumnFormula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1" xr3:uid="{1A614F9D-2C12-4960-84A0-E7AB92429555}" name="R0 (pu) Base" dataDxfId="37">
      <calculatedColumnFormula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2" xr3:uid="{0E6E9D2C-9281-4656-969A-620794973D34}" name="X1 (pu) Base" dataDxfId="36">
      <calculatedColumnFormula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3" xr3:uid="{6C2201FE-42D6-4DF0-B3EF-A735978E4650}" name="X0 (pu) Base" dataDxfId="35">
      <calculatedColumnFormula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99559C-32F1-4236-AECA-7D9877860AA5}" name="Máquinas" displayName="Máquinas" comment="Tabela de cadastro de máquinas elétricas (motores ou geradores)" ref="A1:R3" totalsRowShown="0" dataDxfId="32">
  <autoFilter ref="A1:R3" xr:uid="{B599559C-32F1-4236-AECA-7D9877860AA5}"/>
  <tableColumns count="18">
    <tableColumn id="1" xr3:uid="{37D2B7CF-5760-4FE5-B9E3-B0DCD2A26D81}" name="Nome" dataDxfId="31"/>
    <tableColumn id="2" xr3:uid="{DDB0FCF3-D10E-454C-83FE-382C8D19A917}" name="Tipo de Máquina" dataDxfId="30"/>
    <tableColumn id="3" xr3:uid="{41B724F9-FA51-4405-81DF-58B3AE9B4DBC}" name="Barra Conectada" dataDxfId="29"/>
    <tableColumn id="4" xr3:uid="{6B3CE436-99E4-492E-85DA-15FB0B060EDA}" name="Potência Nominal (MVA)" dataDxfId="28"/>
    <tableColumn id="5" xr3:uid="{E5D2863F-65FE-4C5B-A9EB-346763EA179D}" name="Tensão (kV)" dataDxfId="27"/>
    <tableColumn id="6" xr3:uid="{68B25089-7F4B-4E85-8AAE-DE5FA47E5B93}" name="R1 (%)" dataDxfId="26"/>
    <tableColumn id="7" xr3:uid="{D4859BAA-B7F8-4C05-B645-D585A105F903}" name="R0 (%)" dataDxfId="25"/>
    <tableColumn id="17" xr3:uid="{409E9AB5-8B08-48E6-A7A0-793C14053FCE}" name="RN (%)" dataDxfId="24"/>
    <tableColumn id="8" xr3:uid="{BBBE4417-080E-4E8B-BC6C-05E4524DE3F5}" name="X1 (%)" dataDxfId="23"/>
    <tableColumn id="9" xr3:uid="{05140983-8FCC-4839-B46F-8E7004364620}" name="X0 (%)" dataDxfId="22"/>
    <tableColumn id="10" xr3:uid="{BF9AB535-205A-4F79-84D5-5550453715EF}" name="XN (%)" dataDxfId="21"/>
    <tableColumn id="11" xr3:uid="{3102012A-28C3-429F-ABCF-987A3E858B48}" name="Tipo de Conexão" dataDxfId="20"/>
    <tableColumn id="12" xr3:uid="{E1B4EC4F-7076-41FF-BCB0-E7F6CF0E98EF}" name="R1 (pu) Base" dataDxfId="19">
      <calculatedColumnFormula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calculatedColumnFormula>
    </tableColumn>
    <tableColumn id="13" xr3:uid="{92B538A9-5C58-47C5-9C6B-1D55720C45D7}" name="R0 (pu) Base" dataDxfId="18">
      <calculatedColumnFormula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9" xr3:uid="{9CD2F29C-116E-42CC-803E-DC7192FA4C57}" name="RN (pu) Base" dataDxfId="17">
      <calculatedColumnFormula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4" xr3:uid="{0ECCD92D-2C71-4E29-8D85-5CC3CE9C7289}" name="X1 (pu) Base" dataDxfId="16">
      <calculatedColumnFormula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5" xr3:uid="{D6E9DCA9-5484-4093-AC90-911A5FDC2769}" name="X0 (pu) Base" dataDxfId="15">
      <calculatedColumnFormula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6" xr3:uid="{EC88726C-0DDD-49C1-935E-CBFE5D75D870}" name="XN (pu) Base" dataDxfId="14">
      <calculatedColumnFormula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5F92FF0-A218-472D-B9E3-FC6DA3123327}" name="Carga" displayName="Carga" comment="Tabela de cadastro de cargas shunts" ref="A1:L2" insertRow="1" totalsRowShown="0" dataDxfId="12">
  <autoFilter ref="A1:L2" xr:uid="{A5F92FF0-A218-472D-B9E3-FC6DA3123327}"/>
  <tableColumns count="12">
    <tableColumn id="1" xr3:uid="{910FA3BB-C4BB-4AC3-AF9E-D80012ED1C16}" name="Nome" dataDxfId="11"/>
    <tableColumn id="2" xr3:uid="{F4DC6F70-034F-4E4F-BC64-1BAA423C9AB6}" name="Barra Conectada" dataDxfId="10"/>
    <tableColumn id="3" xr3:uid="{16DC17B3-2908-4BE5-AD8D-A0BE9806AD93}" name="Tensão (kV)" dataDxfId="9"/>
    <tableColumn id="4" xr3:uid="{4208AB9B-5640-49E2-9518-C539EBBA5291}" name="Potência Ativa (MW)" dataDxfId="8"/>
    <tableColumn id="5" xr3:uid="{471FEBBB-894E-44C5-8AF7-578155197899}" name="Potência Reativa (MVAr)" dataDxfId="7"/>
    <tableColumn id="9" xr3:uid="{406B6459-142D-4994-AB85-BA63DACB76A0}" name="RN (%)" dataDxfId="6"/>
    <tableColumn id="10" xr3:uid="{1D9D8C90-6B2F-4244-B02F-C6CE87681896}" name="XN (%)" dataDxfId="5"/>
    <tableColumn id="6" xr3:uid="{3161E565-B978-4834-B215-F8B8B19F1373}" name="Tipo de Conexão" dataDxfId="4"/>
    <tableColumn id="7" xr3:uid="{0BD04F28-6FD5-49ED-863C-5834525FEF1B}" name="R1 (pu) Base" dataDxfId="3">
      <calculatedColumnFormula>IFERROR(IMREAL(IMDIV(POWER(Carga[[#This Row],[Tensão (kV)]] / _xlfn.XLOOKUP(Carga[[#This Row],[Barra Conectada]], Barramentos[Número], Barramentos[Tensão (kV)], "",0), 2), COMPLEX(Carga[[#This Row],[Potência Ativa (MW)]]/Potencia_Base,-Carga[[#This Row],[Potência Reativa (MVAr)]]/Potencia_Base,"j"))), "-")</calculatedColumnFormula>
    </tableColumn>
    <tableColumn id="12" xr3:uid="{3253BAFE-D434-4BC6-B147-D7CE1A199C5F}" name="RN (pu) Base" dataDxfId="2"/>
    <tableColumn id="8" xr3:uid="{B18D7132-5687-4BD9-BD13-AC795EE47DE9}" name="X1 (pu) Base" dataDxfId="1">
      <calculatedColumnFormula>IFERROR(IMAGINARY(IMDIV(POWER(Carga[[#This Row],[Tensão (kV)]] / _xlfn.XLOOKUP(Carga[[#This Row],[Barra Conectada]], Barramentos[Número], Barramentos[Tensão (kV)], "",0), 2), COMPLEX(Carga[[#This Row],[Potência Ativa (MW)]]/Potencia_Base,-Carga[[#This Row],[Potência Reativa (MVAr)]]/Potencia_Base,"j"))), "-")</calculatedColumnFormula>
    </tableColumn>
    <tableColumn id="13" xr3:uid="{9942CE05-9D44-4C70-AD09-AD30928EC2E6}" name="XN (pu) Base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1" dT="2026-03-29T00:26:47.53" personId="{427EDA70-F2A6-43BD-9A42-79A0A53CE1F7}" id="{D8345C3D-435F-4715-A041-E4B7FFE4C8F9}">
    <text>Defasagem do secundário em relação ao primário.</text>
  </threadedComment>
</ThreadedComment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C2544-BCAB-4982-BAA6-CF03E5FCD6E7}">
  <sheetPr codeName="Planilha1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CC3-5212-456E-8A17-DCA004252BA2}">
  <sheetPr codeName="Oculto"/>
  <dimension ref="A1:A3"/>
  <sheetViews>
    <sheetView workbookViewId="0"/>
  </sheetViews>
  <sheetFormatPr defaultRowHeight="15" x14ac:dyDescent="0.25"/>
  <sheetData>
    <row r="1" spans="1:1" x14ac:dyDescent="0.25">
      <c r="A1" s="7">
        <v>100</v>
      </c>
    </row>
    <row r="2" spans="1:1" x14ac:dyDescent="0.25">
      <c r="A2" t="s">
        <v>87</v>
      </c>
    </row>
    <row r="3" spans="1:1" x14ac:dyDescent="0.25">
      <c r="A3" t="s">
        <v>64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5432C-F150-4B8A-907B-0970AE0B8BBB}">
  <sheetPr codeName="Planilha14"/>
  <dimension ref="A1:G13"/>
  <sheetViews>
    <sheetView workbookViewId="0">
      <selection activeCell="G19" sqref="G19"/>
    </sheetView>
  </sheetViews>
  <sheetFormatPr defaultRowHeight="15" x14ac:dyDescent="0.25"/>
  <sheetData>
    <row r="1" spans="1:7" x14ac:dyDescent="0.25">
      <c r="A1" t="s">
        <v>42</v>
      </c>
      <c r="B1" t="s">
        <v>41</v>
      </c>
    </row>
    <row r="2" spans="1:7" s="11" customFormat="1" x14ac:dyDescent="0.25">
      <c r="A2" s="11" t="s">
        <v>43</v>
      </c>
      <c r="B2" s="11" t="s">
        <v>44</v>
      </c>
    </row>
    <row r="3" spans="1:7" s="11" customFormat="1" x14ac:dyDescent="0.25">
      <c r="A3" s="11" t="s">
        <v>45</v>
      </c>
      <c r="B3" s="11" t="s">
        <v>46</v>
      </c>
    </row>
    <row r="4" spans="1:7" x14ac:dyDescent="0.25">
      <c r="A4" t="s">
        <v>47</v>
      </c>
      <c r="B4" t="s">
        <v>48</v>
      </c>
    </row>
    <row r="5" spans="1:7" s="11" customFormat="1" x14ac:dyDescent="0.25">
      <c r="A5" s="11" t="s">
        <v>49</v>
      </c>
      <c r="B5" s="11" t="s">
        <v>50</v>
      </c>
    </row>
    <row r="6" spans="1:7" s="11" customFormat="1" x14ac:dyDescent="0.25">
      <c r="A6" s="11" t="s">
        <v>51</v>
      </c>
      <c r="B6" s="11" t="s">
        <v>52</v>
      </c>
    </row>
    <row r="7" spans="1:7" x14ac:dyDescent="0.25">
      <c r="A7" t="s">
        <v>53</v>
      </c>
      <c r="B7" t="s">
        <v>103</v>
      </c>
    </row>
    <row r="8" spans="1:7" x14ac:dyDescent="0.25">
      <c r="A8" t="s">
        <v>54</v>
      </c>
      <c r="B8" t="s">
        <v>55</v>
      </c>
    </row>
    <row r="9" spans="1:7" x14ac:dyDescent="0.25">
      <c r="A9" t="s">
        <v>56</v>
      </c>
      <c r="B9" t="s">
        <v>57</v>
      </c>
      <c r="G9" t="s">
        <v>95</v>
      </c>
    </row>
    <row r="10" spans="1:7" x14ac:dyDescent="0.25">
      <c r="A10" t="s">
        <v>58</v>
      </c>
      <c r="B10" t="s">
        <v>59</v>
      </c>
    </row>
    <row r="11" spans="1:7" x14ac:dyDescent="0.25">
      <c r="A11" t="s">
        <v>62</v>
      </c>
      <c r="B11" t="s">
        <v>63</v>
      </c>
    </row>
    <row r="12" spans="1:7" x14ac:dyDescent="0.25">
      <c r="A12" t="s">
        <v>89</v>
      </c>
      <c r="B12" t="s">
        <v>90</v>
      </c>
    </row>
    <row r="13" spans="1:7" x14ac:dyDescent="0.25">
      <c r="A13" t="s">
        <v>106</v>
      </c>
      <c r="B13" t="s">
        <v>107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36DD7-9CB0-4C50-ADCB-D303D7BDF95D}">
  <sheetPr codeName="Configuracoes"/>
  <dimension ref="A1:I4"/>
  <sheetViews>
    <sheetView workbookViewId="0">
      <selection activeCell="C9" sqref="C9"/>
    </sheetView>
  </sheetViews>
  <sheetFormatPr defaultRowHeight="15" x14ac:dyDescent="0.25"/>
  <cols>
    <col min="1" max="1" width="25.85546875" style="1" customWidth="1"/>
    <col min="2" max="2" width="23" style="1" customWidth="1"/>
    <col min="3" max="3" width="28.7109375" style="1" customWidth="1"/>
    <col min="4" max="4" width="28.28515625" style="1" customWidth="1"/>
    <col min="5" max="5" width="29.7109375" style="1" customWidth="1"/>
    <col min="6" max="6" width="29.28515625" customWidth="1"/>
    <col min="7" max="7" width="23.28515625" bestFit="1" customWidth="1"/>
    <col min="8" max="8" width="19.5703125" bestFit="1" customWidth="1"/>
    <col min="9" max="9" width="13.5703125" bestFit="1" customWidth="1"/>
  </cols>
  <sheetData>
    <row r="1" spans="1:9" x14ac:dyDescent="0.25">
      <c r="A1" s="1" t="s">
        <v>27</v>
      </c>
      <c r="B1" s="1" t="s">
        <v>28</v>
      </c>
      <c r="C1" s="1" t="s">
        <v>91</v>
      </c>
      <c r="D1" s="1" t="s">
        <v>92</v>
      </c>
      <c r="E1" s="1" t="s">
        <v>94</v>
      </c>
      <c r="F1" s="1" t="s">
        <v>93</v>
      </c>
      <c r="H1" s="5" t="s">
        <v>35</v>
      </c>
      <c r="I1" s="6">
        <v>100</v>
      </c>
    </row>
    <row r="2" spans="1:9" x14ac:dyDescent="0.25">
      <c r="A2" s="1" t="s">
        <v>65</v>
      </c>
      <c r="B2" s="10">
        <v>4</v>
      </c>
      <c r="C2" s="1">
        <v>0</v>
      </c>
      <c r="D2" s="1">
        <v>0</v>
      </c>
      <c r="E2" s="2">
        <f>Configurações[[#This Row],[Resistência de Falta (Ω)]] /
(
POWER(
_xlfn.XLOOKUP(Configurações[[#This Row],[Barra de Ocorrência]],Barramentos[Número],Barramentos[Tensão (kV)],"-",0),
2
)
/Potencia_Base
)</f>
        <v>0</v>
      </c>
      <c r="F2" s="2">
        <f>Configurações[[#This Row],[Reatância de Falta (Ω)]] /
(
POWER(
_xlfn.XLOOKUP(Configurações[[#This Row],[Barra de Ocorrência]],Barramentos[Número],Barramentos[Tensão (kV)],"-",0),
2
)
/Potencia_Base
)</f>
        <v>0</v>
      </c>
    </row>
    <row r="3" spans="1:9" x14ac:dyDescent="0.25">
      <c r="A3" s="1" t="s">
        <v>104</v>
      </c>
      <c r="B3" s="10">
        <v>1</v>
      </c>
      <c r="C3" s="1">
        <v>0</v>
      </c>
      <c r="D3" s="1">
        <v>0</v>
      </c>
      <c r="E3" s="2">
        <f>Configurações[[#This Row],[Resistência de Falta (Ω)]] /
(
POWER(
_xlfn.XLOOKUP(Configurações[[#This Row],[Barra de Ocorrência]],Barramentos[Número],Barramentos[Tensão (kV)],"-",0),
2
)
/Potencia_Base
)</f>
        <v>0</v>
      </c>
      <c r="F3" s="2">
        <f>Configurações[[#This Row],[Reatância de Falta (Ω)]] /
(
POWER(
_xlfn.XLOOKUP(Configurações[[#This Row],[Barra de Ocorrência]],Barramentos[Número],Barramentos[Tensão (kV)],"-",0),
2
)
/Potencia_Base
)</f>
        <v>0</v>
      </c>
    </row>
    <row r="4" spans="1:9" x14ac:dyDescent="0.25">
      <c r="A4" s="1" t="s">
        <v>105</v>
      </c>
      <c r="B4" s="10">
        <v>3</v>
      </c>
      <c r="C4" s="1">
        <v>0</v>
      </c>
      <c r="D4" s="1">
        <v>0</v>
      </c>
      <c r="E4" s="2">
        <f>Configurações[[#This Row],[Resistência de Falta (Ω)]] /
(
POWER(
_xlfn.XLOOKUP(Configurações[[#This Row],[Barra de Ocorrência]],Barramentos[Número],Barramentos[Tensão (kV)],"-",0),
2
)
/Potencia_Base
)</f>
        <v>0</v>
      </c>
      <c r="F4" s="2">
        <f>Configurações[[#This Row],[Reatância de Falta (Ω)]] /
(
POWER(
_xlfn.XLOOKUP(Configurações[[#This Row],[Barra de Ocorrência]],Barramentos[Número],Barramentos[Tensão (kV)],"-",0),
2
)
/Potencia_Base
)</f>
        <v>0</v>
      </c>
    </row>
  </sheetData>
  <dataValidations count="5">
    <dataValidation type="decimal" operator="greaterThan" showInputMessage="1" showErrorMessage="1" sqref="I1" xr:uid="{B82A7989-A42F-4FD3-9B7B-26E8392A48ED}">
      <formula1>0</formula1>
    </dataValidation>
    <dataValidation type="list" showInputMessage="1" showErrorMessage="1" sqref="B2:B4" xr:uid="{D7AD2082-6D50-4A04-911E-F1BE7F72159B}">
      <formula1>INDIRECT("Barramentos[Número]")</formula1>
    </dataValidation>
    <dataValidation type="list" showInputMessage="1" showErrorMessage="1" sqref="A2:A4" xr:uid="{354A04D4-4D14-45AD-80EE-372509A058E0}">
      <formula1>"Trifásico,Monofásico,Bifásico-Terra,Bifásico"</formula1>
    </dataValidation>
    <dataValidation type="decimal" operator="greaterThanOrEqual" showInputMessage="1" showErrorMessage="1" sqref="C2:C4" xr:uid="{E966FC70-F503-4F5B-A599-19E24597B9B5}">
      <formula1>0</formula1>
    </dataValidation>
    <dataValidation type="decimal" operator="greaterThanOrEqual" allowBlank="1" showInputMessage="1" showErrorMessage="1" sqref="D2:D4" xr:uid="{F94E1B0E-F402-4420-8A71-FF883B73B049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BE4B5-8F6C-42CC-BE8E-2B7171C7E2AD}">
  <sheetPr codeName="Barramentos"/>
  <dimension ref="A1:C5"/>
  <sheetViews>
    <sheetView workbookViewId="0">
      <selection activeCell="N20" sqref="N20"/>
    </sheetView>
  </sheetViews>
  <sheetFormatPr defaultRowHeight="15" x14ac:dyDescent="0.25"/>
  <cols>
    <col min="1" max="1" width="19.85546875" customWidth="1"/>
    <col min="2" max="2" width="17.28515625" customWidth="1"/>
    <col min="3" max="3" width="20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s="1" customFormat="1" x14ac:dyDescent="0.25">
      <c r="A2" s="1" t="s">
        <v>26</v>
      </c>
      <c r="B2" s="10">
        <v>1</v>
      </c>
      <c r="C2" s="3">
        <v>15</v>
      </c>
    </row>
    <row r="3" spans="1:3" x14ac:dyDescent="0.25">
      <c r="A3" s="1" t="s">
        <v>25</v>
      </c>
      <c r="B3" s="10">
        <v>2</v>
      </c>
      <c r="C3" s="3">
        <v>345</v>
      </c>
    </row>
    <row r="4" spans="1:3" x14ac:dyDescent="0.25">
      <c r="A4" s="1" t="s">
        <v>29</v>
      </c>
      <c r="B4" s="10">
        <v>3</v>
      </c>
      <c r="C4" s="3">
        <v>345</v>
      </c>
    </row>
    <row r="5" spans="1:3" x14ac:dyDescent="0.25">
      <c r="A5" s="1" t="s">
        <v>30</v>
      </c>
      <c r="B5" s="10">
        <v>4</v>
      </c>
      <c r="C5" s="3">
        <v>15</v>
      </c>
    </row>
  </sheetData>
  <conditionalFormatting sqref="A2:B5">
    <cfRule type="duplicateValues" dxfId="54" priority="10"/>
  </conditionalFormatting>
  <dataValidations count="2">
    <dataValidation type="whole" showInputMessage="1" showErrorMessage="1" sqref="B2:B5" xr:uid="{730E81BB-091B-45D4-B9EC-9AF643D5CC82}">
      <formula1>1</formula1>
      <formula2>99999</formula2>
    </dataValidation>
    <dataValidation type="decimal" operator="greaterThan" showInputMessage="1" showErrorMessage="1" sqref="C2:C5" xr:uid="{D5024ADD-FBCE-4E22-B1CC-BFD35E0BC41A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827D3-F606-4317-8F66-AFD2E6763886}">
  <sheetPr codeName="Transformadores"/>
  <dimension ref="A1:P3"/>
  <sheetViews>
    <sheetView showGridLines="0" tabSelected="1" workbookViewId="0">
      <selection activeCell="D17" sqref="D17"/>
    </sheetView>
  </sheetViews>
  <sheetFormatPr defaultColWidth="14" defaultRowHeight="15" x14ac:dyDescent="0.25"/>
  <cols>
    <col min="1" max="1" width="13.5703125" customWidth="1"/>
    <col min="2" max="2" width="24.7109375" customWidth="1"/>
    <col min="3" max="3" width="10.5703125" customWidth="1"/>
    <col min="4" max="4" width="21.7109375" customWidth="1"/>
    <col min="5" max="5" width="12.5703125" customWidth="1"/>
    <col min="6" max="6" width="24.7109375" customWidth="1"/>
    <col min="7" max="7" width="10.42578125" customWidth="1"/>
    <col min="8" max="8" width="11.140625" customWidth="1"/>
    <col min="9" max="9" width="10.7109375" customWidth="1"/>
    <col min="10" max="10" width="12.42578125" customWidth="1"/>
    <col min="11" max="12" width="17.5703125" customWidth="1"/>
    <col min="13" max="14" width="14.140625" customWidth="1"/>
    <col min="15" max="15" width="16.140625" customWidth="1"/>
    <col min="16" max="16" width="16" customWidth="1"/>
  </cols>
  <sheetData>
    <row r="1" spans="1:16" x14ac:dyDescent="0.25">
      <c r="A1" t="s">
        <v>0</v>
      </c>
      <c r="B1" t="s">
        <v>5</v>
      </c>
      <c r="C1" t="s">
        <v>3</v>
      </c>
      <c r="D1" t="s">
        <v>14</v>
      </c>
      <c r="E1" t="s">
        <v>4</v>
      </c>
      <c r="F1" t="s">
        <v>15</v>
      </c>
      <c r="G1" t="s">
        <v>8</v>
      </c>
      <c r="H1" t="s">
        <v>9</v>
      </c>
      <c r="I1" t="s">
        <v>16</v>
      </c>
      <c r="J1" t="s">
        <v>17</v>
      </c>
      <c r="K1" t="s">
        <v>18</v>
      </c>
      <c r="L1" t="s">
        <v>96</v>
      </c>
      <c r="M1" t="s">
        <v>12</v>
      </c>
      <c r="N1" t="s">
        <v>13</v>
      </c>
      <c r="O1" t="s">
        <v>19</v>
      </c>
      <c r="P1" t="s">
        <v>20</v>
      </c>
    </row>
    <row r="2" spans="1:16" s="1" customFormat="1" x14ac:dyDescent="0.25">
      <c r="A2" s="1" t="s">
        <v>39</v>
      </c>
      <c r="B2" s="1">
        <v>175</v>
      </c>
      <c r="C2" s="10">
        <v>1</v>
      </c>
      <c r="D2" s="1">
        <v>15</v>
      </c>
      <c r="E2" s="10">
        <v>2</v>
      </c>
      <c r="F2" s="1">
        <v>345</v>
      </c>
      <c r="G2" s="1">
        <v>8</v>
      </c>
      <c r="H2" s="1">
        <v>8</v>
      </c>
      <c r="I2" s="1">
        <v>0</v>
      </c>
      <c r="J2" s="1">
        <v>0</v>
      </c>
      <c r="K2" s="1" t="s">
        <v>97</v>
      </c>
      <c r="L2" s="1">
        <v>-30</v>
      </c>
      <c r="M2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N2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O2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P2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</row>
    <row r="3" spans="1:16" x14ac:dyDescent="0.25">
      <c r="A3" s="1" t="s">
        <v>40</v>
      </c>
      <c r="B3" s="1">
        <v>175</v>
      </c>
      <c r="C3" s="10">
        <v>3</v>
      </c>
      <c r="D3" s="1">
        <v>345</v>
      </c>
      <c r="E3" s="10">
        <v>4</v>
      </c>
      <c r="F3" s="1">
        <v>15</v>
      </c>
      <c r="G3" s="1">
        <v>7</v>
      </c>
      <c r="H3" s="1">
        <v>7</v>
      </c>
      <c r="I3" s="1">
        <v>0</v>
      </c>
      <c r="J3" s="1">
        <v>0</v>
      </c>
      <c r="K3" s="1" t="s">
        <v>86</v>
      </c>
      <c r="L3" s="1">
        <v>0</v>
      </c>
      <c r="M3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N3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O3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P3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</row>
  </sheetData>
  <sheetProtection formatCells="0"/>
  <conditionalFormatting sqref="A2:A3">
    <cfRule type="duplicateValues" dxfId="80" priority="16"/>
  </conditionalFormatting>
  <dataValidations count="5">
    <dataValidation type="decimal" operator="greaterThan" allowBlank="1" showInputMessage="1" showErrorMessage="1" sqref="B2:B3" xr:uid="{976DD05E-2529-4502-A9E1-AF66F92D2FFA}">
      <formula1>0</formula1>
    </dataValidation>
    <dataValidation type="list" showInputMessage="1" showErrorMessage="1" sqref="C2:C3 E2:E3" xr:uid="{88FF6D65-EAFC-452E-9282-2C2CA1772819}">
      <formula1>INDIRECT("Barramentos[Número]")</formula1>
    </dataValidation>
    <dataValidation type="decimal" operator="greaterThanOrEqual" allowBlank="1" showInputMessage="1" showErrorMessage="1" sqref="D2:D3 F2:J3" xr:uid="{A4B660CB-078C-4003-9D0E-7C3B167AC11D}">
      <formula1>0</formula1>
    </dataValidation>
    <dataValidation type="list" allowBlank="1" showInputMessage="1" showErrorMessage="1" sqref="K2:K3" xr:uid="{F80BEEB6-9C5B-461C-A2CE-1083D85F28FD}">
      <formula1>"Y-Y,Yt-Y,Y-Yt,Yt-Yt,Y-D,D-Y,Yt-D,D-Yt,D-D"</formula1>
    </dataValidation>
    <dataValidation type="decimal" allowBlank="1" showInputMessage="1" showErrorMessage="1" sqref="L2:L3" xr:uid="{DD371ED4-6351-496C-86B1-82ADA497C1DF}">
      <formula1>-360</formula1>
      <formula2>360</formula2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8FE2A-0717-4983-AB6C-756C10AE049C}">
  <sheetPr codeName="Linhas_de_Transmissao"/>
  <dimension ref="A1:M2"/>
  <sheetViews>
    <sheetView showGridLines="0" workbookViewId="0">
      <selection activeCell="D19" sqref="D19"/>
    </sheetView>
  </sheetViews>
  <sheetFormatPr defaultRowHeight="15" x14ac:dyDescent="0.25"/>
  <cols>
    <col min="1" max="1" width="12" customWidth="1"/>
    <col min="2" max="2" width="14.7109375" customWidth="1"/>
    <col min="3" max="3" width="13.85546875" customWidth="1"/>
    <col min="4" max="4" width="16.28515625" customWidth="1"/>
    <col min="5" max="5" width="24.7109375" customWidth="1"/>
    <col min="6" max="6" width="11" customWidth="1"/>
    <col min="7" max="7" width="10.5703125" customWidth="1"/>
    <col min="8" max="8" width="10.28515625" customWidth="1"/>
    <col min="9" max="9" width="12.42578125" customWidth="1"/>
    <col min="10" max="10" width="14.140625" customWidth="1"/>
    <col min="11" max="11" width="15" customWidth="1"/>
    <col min="12" max="12" width="14.7109375" customWidth="1"/>
    <col min="13" max="13" width="14.140625" customWidth="1"/>
  </cols>
  <sheetData>
    <row r="1" spans="1:13" x14ac:dyDescent="0.25">
      <c r="A1" t="s">
        <v>0</v>
      </c>
      <c r="B1" t="s">
        <v>3</v>
      </c>
      <c r="C1" t="s">
        <v>4</v>
      </c>
      <c r="D1" t="s">
        <v>2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</row>
    <row r="2" spans="1:13" s="1" customFormat="1" x14ac:dyDescent="0.25">
      <c r="A2" s="1" t="s">
        <v>36</v>
      </c>
      <c r="B2" s="10">
        <v>2</v>
      </c>
      <c r="C2" s="10">
        <v>3</v>
      </c>
      <c r="D2" s="3">
        <v>345</v>
      </c>
      <c r="E2" s="1">
        <v>100</v>
      </c>
      <c r="F2" s="4">
        <v>0</v>
      </c>
      <c r="G2" s="4">
        <v>0</v>
      </c>
      <c r="H2" s="4">
        <v>10</v>
      </c>
      <c r="I2" s="4">
        <v>20</v>
      </c>
      <c r="J2" s="2">
        <f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</v>
      </c>
      <c r="K2" s="2">
        <f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</v>
      </c>
      <c r="L2" s="2">
        <f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0.1</v>
      </c>
      <c r="M2" s="2">
        <f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0.2</v>
      </c>
    </row>
  </sheetData>
  <conditionalFormatting sqref="A2">
    <cfRule type="duplicateValues" dxfId="49" priority="17"/>
  </conditionalFormatting>
  <dataValidations count="2">
    <dataValidation type="list" allowBlank="1" showInputMessage="1" showErrorMessage="1" sqref="B2:C2" xr:uid="{A53DC360-2A0E-4D8E-A487-8A9FB0D05AE4}">
      <formula1>INDIRECT("Barramentos[Número]")</formula1>
    </dataValidation>
    <dataValidation type="decimal" operator="greaterThanOrEqual" allowBlank="1" showInputMessage="1" showErrorMessage="1" sqref="D2:I2" xr:uid="{B5EB5A74-413F-46D5-934E-69926F6C489D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A7BA-E4BF-43F8-A188-66CC4B515494}">
  <sheetPr codeName="Maquinas"/>
  <dimension ref="A1:R3"/>
  <sheetViews>
    <sheetView showGridLines="0" topLeftCell="C1" workbookViewId="0">
      <selection activeCell="C2" sqref="C2:C3"/>
    </sheetView>
  </sheetViews>
  <sheetFormatPr defaultRowHeight="15" x14ac:dyDescent="0.25"/>
  <cols>
    <col min="2" max="3" width="17.85546875" customWidth="1"/>
    <col min="4" max="4" width="24.7109375" customWidth="1"/>
    <col min="5" max="5" width="14.140625" customWidth="1"/>
    <col min="12" max="12" width="17.5703125" customWidth="1"/>
    <col min="13" max="17" width="14.140625" customWidth="1"/>
    <col min="18" max="18" width="14.5703125" customWidth="1"/>
  </cols>
  <sheetData>
    <row r="1" spans="1:18" x14ac:dyDescent="0.25">
      <c r="A1" t="s">
        <v>0</v>
      </c>
      <c r="B1" t="s">
        <v>21</v>
      </c>
      <c r="C1" t="s">
        <v>22</v>
      </c>
      <c r="D1" t="s">
        <v>5</v>
      </c>
      <c r="E1" t="s">
        <v>2</v>
      </c>
      <c r="F1" t="s">
        <v>6</v>
      </c>
      <c r="G1" t="s">
        <v>7</v>
      </c>
      <c r="H1" t="s">
        <v>60</v>
      </c>
      <c r="I1" t="s">
        <v>8</v>
      </c>
      <c r="J1" t="s">
        <v>9</v>
      </c>
      <c r="K1" t="s">
        <v>23</v>
      </c>
      <c r="L1" t="s">
        <v>18</v>
      </c>
      <c r="M1" t="s">
        <v>10</v>
      </c>
      <c r="N1" t="s">
        <v>11</v>
      </c>
      <c r="O1" t="s">
        <v>61</v>
      </c>
      <c r="P1" t="s">
        <v>12</v>
      </c>
      <c r="Q1" t="s">
        <v>13</v>
      </c>
      <c r="R1" t="s">
        <v>24</v>
      </c>
    </row>
    <row r="2" spans="1:18" s="1" customFormat="1" x14ac:dyDescent="0.25">
      <c r="A2" s="1" t="s">
        <v>31</v>
      </c>
      <c r="B2" s="1" t="s">
        <v>32</v>
      </c>
      <c r="C2" s="10">
        <v>1</v>
      </c>
      <c r="D2" s="1">
        <v>100</v>
      </c>
      <c r="E2" s="1">
        <v>15</v>
      </c>
      <c r="F2" s="4">
        <v>0</v>
      </c>
      <c r="G2" s="4">
        <v>0</v>
      </c>
      <c r="H2" s="4">
        <v>0</v>
      </c>
      <c r="I2" s="4">
        <v>20</v>
      </c>
      <c r="J2" s="4">
        <v>10</v>
      </c>
      <c r="K2" s="4">
        <v>0</v>
      </c>
      <c r="L2" s="1" t="s">
        <v>37</v>
      </c>
      <c r="M2" s="2">
        <f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f>
        <v>0</v>
      </c>
      <c r="N2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O2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P2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0.2</v>
      </c>
      <c r="Q2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0.1</v>
      </c>
      <c r="R2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</row>
    <row r="3" spans="1:18" x14ac:dyDescent="0.25">
      <c r="A3" s="1" t="s">
        <v>38</v>
      </c>
      <c r="B3" s="1" t="s">
        <v>32</v>
      </c>
      <c r="C3" s="10">
        <v>4</v>
      </c>
      <c r="D3" s="1">
        <v>100</v>
      </c>
      <c r="E3" s="1">
        <v>15</v>
      </c>
      <c r="F3" s="4">
        <v>0</v>
      </c>
      <c r="G3" s="4">
        <v>0</v>
      </c>
      <c r="H3" s="4">
        <v>0</v>
      </c>
      <c r="I3" s="4">
        <v>25</v>
      </c>
      <c r="J3" s="4">
        <v>12.5</v>
      </c>
      <c r="K3" s="4">
        <v>0</v>
      </c>
      <c r="L3" s="1" t="s">
        <v>37</v>
      </c>
      <c r="M3" s="2">
        <f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f>
        <v>0</v>
      </c>
      <c r="N3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O3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P3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0.25</v>
      </c>
      <c r="Q3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0.125</v>
      </c>
      <c r="R3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</row>
  </sheetData>
  <conditionalFormatting sqref="A2:A3">
    <cfRule type="duplicateValues" dxfId="34" priority="11"/>
    <cfRule type="duplicateValues" dxfId="33" priority="12"/>
  </conditionalFormatting>
  <dataValidations count="4">
    <dataValidation type="list" showInputMessage="1" showErrorMessage="1" sqref="B2:B3" xr:uid="{030B28AD-E1E3-4915-9BC7-7CE9F6F445BD}">
      <formula1>"Gerador,Motor"</formula1>
    </dataValidation>
    <dataValidation type="list" showInputMessage="1" showErrorMessage="1" sqref="C2:C3" xr:uid="{29273589-9991-498E-8AC0-9E2F7F0F3DC1}">
      <formula1>INDIRECT("Barramentos[Número]")</formula1>
    </dataValidation>
    <dataValidation type="decimal" operator="greaterThanOrEqual" allowBlank="1" showInputMessage="1" showErrorMessage="1" sqref="D2:K3" xr:uid="{9EA542E0-AC27-4B3C-BC8C-5F99958B7631}">
      <formula1>0</formula1>
    </dataValidation>
    <dataValidation type="list" showInputMessage="1" showErrorMessage="1" sqref="L2:L3" xr:uid="{C2781BA9-553A-4FD6-97B1-143F624F46FF}">
      <formula1>"Y,Yt,D"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DC802-90D6-45E0-9965-A48DFA8C2B47}">
  <sheetPr codeName="Carga"/>
  <dimension ref="A1:L4"/>
  <sheetViews>
    <sheetView workbookViewId="0">
      <selection activeCell="I16" sqref="I16"/>
    </sheetView>
  </sheetViews>
  <sheetFormatPr defaultColWidth="11.28515625" defaultRowHeight="15" x14ac:dyDescent="0.25"/>
  <cols>
    <col min="2" max="2" width="17.85546875" customWidth="1"/>
    <col min="3" max="3" width="14.5703125" customWidth="1"/>
    <col min="4" max="4" width="19" customWidth="1"/>
    <col min="5" max="7" width="21.140625" customWidth="1"/>
    <col min="8" max="8" width="18.85546875" customWidth="1"/>
    <col min="9" max="9" width="14.5703125" customWidth="1"/>
    <col min="10" max="10" width="14.85546875" customWidth="1"/>
    <col min="11" max="11" width="14.5703125" customWidth="1"/>
    <col min="12" max="12" width="14.7109375" customWidth="1"/>
  </cols>
  <sheetData>
    <row r="1" spans="1:12" x14ac:dyDescent="0.25">
      <c r="A1" t="s">
        <v>0</v>
      </c>
      <c r="B1" t="s">
        <v>22</v>
      </c>
      <c r="C1" t="s">
        <v>2</v>
      </c>
      <c r="D1" t="s">
        <v>33</v>
      </c>
      <c r="E1" t="s">
        <v>34</v>
      </c>
      <c r="F1" t="s">
        <v>60</v>
      </c>
      <c r="G1" t="s">
        <v>23</v>
      </c>
      <c r="H1" t="s">
        <v>18</v>
      </c>
      <c r="I1" t="s">
        <v>10</v>
      </c>
      <c r="J1" t="s">
        <v>61</v>
      </c>
      <c r="K1" t="s">
        <v>12</v>
      </c>
      <c r="L1" t="s">
        <v>24</v>
      </c>
    </row>
    <row r="2" spans="1:12" s="1" customFormat="1" x14ac:dyDescent="0.25">
      <c r="I2" s="2"/>
      <c r="J2" s="2"/>
      <c r="K2" s="2"/>
      <c r="L2" s="2"/>
    </row>
    <row r="4" spans="1:12" x14ac:dyDescent="0.25">
      <c r="L4" s="1"/>
    </row>
  </sheetData>
  <conditionalFormatting sqref="A2">
    <cfRule type="duplicateValues" dxfId="13" priority="15"/>
  </conditionalFormatting>
  <dataValidations disablePrompts="1" count="3">
    <dataValidation type="list" showInputMessage="1" showErrorMessage="1" sqref="B2" xr:uid="{2762B16C-A7AF-48AE-8255-AE1682EBB108}">
      <formula1>INDIRECT("Barramentos[Número]")</formula1>
    </dataValidation>
    <dataValidation type="decimal" operator="greaterThanOrEqual" allowBlank="1" showInputMessage="1" showErrorMessage="1" sqref="C2:G2" xr:uid="{EE980F05-57EA-49ED-828A-74C07A676DAC}">
      <formula1>0</formula1>
    </dataValidation>
    <dataValidation type="list" showInputMessage="1" showErrorMessage="1" sqref="H2" xr:uid="{FF8F97EE-1B1C-488E-AA72-6D4475FAB17A}">
      <formula1>"Y,Yt,D"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80E7C-6697-48C5-B94C-AE426DB5430B}">
  <sheetPr codeName="Transformadores_3_Enrolamentos"/>
  <dimension ref="A1"/>
  <sheetViews>
    <sheetView showGridLines="0" showRowColHeaders="0" workbookViewId="0">
      <selection activeCell="G6" sqref="G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7861-9E3A-43D5-A6F8-E899AE43B66B}">
  <sheetPr codeName="YBarra12"/>
  <dimension ref="A1:E5"/>
  <sheetViews>
    <sheetView workbookViewId="0">
      <selection activeCell="O3" sqref="O3"/>
    </sheetView>
  </sheetViews>
  <sheetFormatPr defaultColWidth="9.28515625" defaultRowHeight="15" x14ac:dyDescent="0.25"/>
  <cols>
    <col min="1" max="1" width="2" bestFit="1" customWidth="1"/>
    <col min="2" max="5" width="14.85546875" bestFit="1" customWidth="1"/>
  </cols>
  <sheetData>
    <row r="1" spans="1:5" x14ac:dyDescent="0.25">
      <c r="A1" s="9"/>
      <c r="B1" s="9">
        <v>1</v>
      </c>
      <c r="C1" s="9">
        <v>2</v>
      </c>
      <c r="D1" s="9">
        <v>3</v>
      </c>
      <c r="E1" s="9">
        <v>4</v>
      </c>
    </row>
    <row r="2" spans="1:5" x14ac:dyDescent="0.25">
      <c r="A2" s="8">
        <v>1</v>
      </c>
      <c r="B2" t="s">
        <v>66</v>
      </c>
      <c r="C2" t="s">
        <v>67</v>
      </c>
      <c r="D2" t="s">
        <v>68</v>
      </c>
      <c r="E2" t="s">
        <v>68</v>
      </c>
    </row>
    <row r="3" spans="1:5" x14ac:dyDescent="0.25">
      <c r="A3" s="8">
        <v>2</v>
      </c>
      <c r="B3" t="s">
        <v>67</v>
      </c>
      <c r="C3" t="s">
        <v>69</v>
      </c>
      <c r="D3" t="s">
        <v>70</v>
      </c>
      <c r="E3" t="s">
        <v>68</v>
      </c>
    </row>
    <row r="4" spans="1:5" x14ac:dyDescent="0.25">
      <c r="A4" s="8">
        <v>3</v>
      </c>
      <c r="B4" t="s">
        <v>68</v>
      </c>
      <c r="C4" t="s">
        <v>70</v>
      </c>
      <c r="D4" t="s">
        <v>71</v>
      </c>
      <c r="E4" t="s">
        <v>72</v>
      </c>
    </row>
    <row r="5" spans="1:5" x14ac:dyDescent="0.25">
      <c r="A5" s="8">
        <v>4</v>
      </c>
      <c r="B5" t="s">
        <v>68</v>
      </c>
      <c r="C5" t="s">
        <v>68</v>
      </c>
      <c r="D5" t="s">
        <v>72</v>
      </c>
      <c r="E5" t="s">
        <v>73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9D9AD-3739-4DE0-8EF5-40DF4C661D27}">
  <sheetPr codeName="ZBarra12"/>
  <dimension ref="A1:E5"/>
  <sheetViews>
    <sheetView showGridLines="0" showRowColHeaders="0" workbookViewId="0">
      <selection activeCell="H19" sqref="H17:H19"/>
    </sheetView>
  </sheetViews>
  <sheetFormatPr defaultRowHeight="15" x14ac:dyDescent="0.25"/>
  <cols>
    <col min="1" max="1" width="2" bestFit="1" customWidth="1"/>
    <col min="2" max="5" width="13.85546875" bestFit="1" customWidth="1"/>
  </cols>
  <sheetData>
    <row r="1" spans="1:5" x14ac:dyDescent="0.25">
      <c r="A1" s="9"/>
      <c r="B1" s="9">
        <v>1</v>
      </c>
      <c r="C1" s="9">
        <v>2</v>
      </c>
      <c r="D1" s="9">
        <v>3</v>
      </c>
      <c r="E1" s="9">
        <v>4</v>
      </c>
    </row>
    <row r="2" spans="1:5" x14ac:dyDescent="0.25">
      <c r="A2" s="8">
        <v>1</v>
      </c>
      <c r="B2" t="s">
        <v>74</v>
      </c>
      <c r="C2" t="s">
        <v>75</v>
      </c>
      <c r="D2" t="s">
        <v>76</v>
      </c>
      <c r="E2" t="s">
        <v>77</v>
      </c>
    </row>
    <row r="3" spans="1:5" x14ac:dyDescent="0.25">
      <c r="A3" s="8">
        <v>2</v>
      </c>
      <c r="B3" t="s">
        <v>75</v>
      </c>
      <c r="C3" t="s">
        <v>78</v>
      </c>
      <c r="D3" t="s">
        <v>79</v>
      </c>
      <c r="E3" t="s">
        <v>80</v>
      </c>
    </row>
    <row r="4" spans="1:5" x14ac:dyDescent="0.25">
      <c r="A4" s="8">
        <v>3</v>
      </c>
      <c r="B4" t="s">
        <v>76</v>
      </c>
      <c r="C4" t="s">
        <v>79</v>
      </c>
      <c r="D4" t="s">
        <v>81</v>
      </c>
      <c r="E4" t="s">
        <v>82</v>
      </c>
    </row>
    <row r="5" spans="1:5" x14ac:dyDescent="0.25">
      <c r="A5" s="8">
        <v>4</v>
      </c>
      <c r="B5" t="s">
        <v>77</v>
      </c>
      <c r="C5" t="s">
        <v>80</v>
      </c>
      <c r="D5" t="s">
        <v>82</v>
      </c>
      <c r="E5" t="s">
        <v>83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B132E-A611-4146-90D1-831580794A1D}">
  <sheetPr codeName="YBarra0"/>
  <dimension ref="A1:E5"/>
  <sheetViews>
    <sheetView showGridLines="0" showRowColHeaders="0" workbookViewId="0">
      <selection activeCell="E17" sqref="E17"/>
    </sheetView>
  </sheetViews>
  <sheetFormatPr defaultRowHeight="15" x14ac:dyDescent="0.25"/>
  <cols>
    <col min="1" max="1" width="2" bestFit="1" customWidth="1"/>
    <col min="2" max="2" width="14.5703125" bestFit="1" customWidth="1"/>
    <col min="3" max="3" width="13.85546875" bestFit="1" customWidth="1"/>
    <col min="4" max="5" width="14.85546875" bestFit="1" customWidth="1"/>
  </cols>
  <sheetData>
    <row r="1" spans="1:5" x14ac:dyDescent="0.25">
      <c r="A1" s="9"/>
      <c r="B1" s="9">
        <v>1</v>
      </c>
      <c r="C1" s="9">
        <v>2</v>
      </c>
      <c r="D1" s="9">
        <v>3</v>
      </c>
      <c r="E1" s="9">
        <v>4</v>
      </c>
    </row>
    <row r="2" spans="1:5" x14ac:dyDescent="0.25">
      <c r="A2" s="8">
        <v>1</v>
      </c>
      <c r="B2" t="s">
        <v>69</v>
      </c>
      <c r="C2" t="s">
        <v>68</v>
      </c>
      <c r="D2" t="s">
        <v>68</v>
      </c>
      <c r="E2" t="s">
        <v>68</v>
      </c>
    </row>
    <row r="3" spans="1:5" x14ac:dyDescent="0.25">
      <c r="A3" s="8">
        <v>2</v>
      </c>
      <c r="B3" t="s">
        <v>68</v>
      </c>
      <c r="C3" t="s">
        <v>98</v>
      </c>
      <c r="D3" t="s">
        <v>84</v>
      </c>
      <c r="E3" t="s">
        <v>68</v>
      </c>
    </row>
    <row r="4" spans="1:5" x14ac:dyDescent="0.25">
      <c r="A4" s="8">
        <v>3</v>
      </c>
      <c r="B4" t="s">
        <v>68</v>
      </c>
      <c r="C4" t="s">
        <v>84</v>
      </c>
      <c r="D4" t="s">
        <v>88</v>
      </c>
      <c r="E4" t="s">
        <v>72</v>
      </c>
    </row>
    <row r="5" spans="1:5" x14ac:dyDescent="0.25">
      <c r="A5" s="8">
        <v>4</v>
      </c>
      <c r="B5" t="s">
        <v>68</v>
      </c>
      <c r="C5" t="s">
        <v>68</v>
      </c>
      <c r="D5" t="s">
        <v>72</v>
      </c>
      <c r="E5" t="s">
        <v>85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94C47-F254-4E06-9F76-EFCA764E7949}">
  <sheetPr codeName="ZBarra0"/>
  <dimension ref="A1:E5"/>
  <sheetViews>
    <sheetView workbookViewId="0">
      <selection activeCell="H12" sqref="H12"/>
    </sheetView>
  </sheetViews>
  <sheetFormatPr defaultRowHeight="15" x14ac:dyDescent="0.25"/>
  <cols>
    <col min="1" max="1" width="2" bestFit="1" customWidth="1"/>
    <col min="2" max="5" width="13.85546875" bestFit="1" customWidth="1"/>
  </cols>
  <sheetData>
    <row r="1" spans="1:5" x14ac:dyDescent="0.25">
      <c r="A1" s="9"/>
      <c r="B1" s="9">
        <v>1</v>
      </c>
      <c r="C1" s="9">
        <v>2</v>
      </c>
      <c r="D1" s="9">
        <v>3</v>
      </c>
      <c r="E1" s="9">
        <v>4</v>
      </c>
    </row>
    <row r="2" spans="1:5" x14ac:dyDescent="0.25">
      <c r="A2" s="8">
        <v>1</v>
      </c>
      <c r="B2" t="s">
        <v>99</v>
      </c>
      <c r="C2" t="s">
        <v>68</v>
      </c>
      <c r="D2" t="s">
        <v>68</v>
      </c>
      <c r="E2" t="s">
        <v>68</v>
      </c>
    </row>
    <row r="3" spans="1:5" x14ac:dyDescent="0.25">
      <c r="A3" s="8">
        <v>2</v>
      </c>
      <c r="B3" t="s">
        <v>68</v>
      </c>
      <c r="C3" t="s">
        <v>100</v>
      </c>
      <c r="D3" t="s">
        <v>101</v>
      </c>
      <c r="E3" t="s">
        <v>102</v>
      </c>
    </row>
    <row r="4" spans="1:5" x14ac:dyDescent="0.25">
      <c r="A4" s="8">
        <v>3</v>
      </c>
      <c r="B4" t="s">
        <v>68</v>
      </c>
      <c r="C4" t="s">
        <v>101</v>
      </c>
      <c r="D4" t="s">
        <v>101</v>
      </c>
      <c r="E4" t="s">
        <v>102</v>
      </c>
    </row>
    <row r="5" spans="1:5" x14ac:dyDescent="0.25">
      <c r="A5" s="8">
        <v>4</v>
      </c>
      <c r="B5" t="s">
        <v>68</v>
      </c>
      <c r="C5" t="s">
        <v>102</v>
      </c>
      <c r="D5" t="s">
        <v>102</v>
      </c>
      <c r="E5" t="s">
        <v>102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B3EEC-6A1A-48A0-BD44-59AE824D6BA8}">
  <sheetPr codeName="Relatorio"/>
  <dimension ref="A1"/>
  <sheetViews>
    <sheetView showGridLines="0" showRowColHeaders="0" workbookViewId="0">
      <selection activeCell="H12" sqref="H12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customUI/_rels/customUI.xml.rels><?xml version="1.0" encoding="UTF-8" standalone="yes"?>
<Relationships xmlns="http://schemas.openxmlformats.org/package/2006/relationships"><Relationship Id="transformador" Type="http://schemas.openxmlformats.org/officeDocument/2006/relationships/image" Target="images/dd167455-dc16-4b74-8a0d-38c72e11aab5.png"/><Relationship Id="matriz" Type="http://schemas.openxmlformats.org/officeDocument/2006/relationships/image" Target="images/16af6274-94de-4fa7-9ae5-a727c5ab4468.png"/><Relationship Id="diagrama" Type="http://schemas.openxmlformats.org/officeDocument/2006/relationships/image" Target="images/399543e7-00c6-4477-83be-6b28aaf7fdde.png"/><Relationship Id="barra" Type="http://schemas.openxmlformats.org/officeDocument/2006/relationships/image" Target="images/73883d62-91d2-49d9-b501-927ffed043f1.png"/><Relationship Id="limpar" Type="http://schemas.openxmlformats.org/officeDocument/2006/relationships/image" Target="images/2b68580e-2e04-49a4-9778-67457e0dc8f0.png"/><Relationship Id="linha" Type="http://schemas.openxmlformats.org/officeDocument/2006/relationships/image" Target="images/72d709a5-73d2-4ad0-9dd4-40030510ea66.png"/><Relationship Id="shunt" Type="http://schemas.openxmlformats.org/officeDocument/2006/relationships/image" Target="images/a56fd32e-4a21-44fa-bf0b-76186d8bee32.png"/><Relationship Id="exportar" Type="http://schemas.openxmlformats.org/officeDocument/2006/relationships/image" Target="images/442b6997-c9e5-416f-a3b2-982f16762fca.png"/><Relationship Id="transformador_3_enrolamentos" Type="http://schemas.openxmlformats.org/officeDocument/2006/relationships/image" Target="images/749f09fd-3cc0-4363-9523-9160d920ee8b.png"/><Relationship Id="desenvolvedor" Type="http://schemas.openxmlformats.org/officeDocument/2006/relationships/image" Target="images/f3d928bd-1beb-45d0-8ea6-1e2714f8a767.png"/><Relationship Id="relatorio" Type="http://schemas.openxmlformats.org/officeDocument/2006/relationships/image" Target="images/ec0c808c-8462-4f62-a3dd-c9fda23538db.png"/><Relationship Id="github" Type="http://schemas.openxmlformats.org/officeDocument/2006/relationships/image" Target="images/fdede6fb-19ee-423f-b592-e39b1ec340b5.png"/><Relationship Id="maquina" Type="http://schemas.openxmlformats.org/officeDocument/2006/relationships/image" Target="images/b77fbc62-2a5f-4239-b02f-28e5ec0a4a50.png"/><Relationship Id="informacoes" Type="http://schemas.openxmlformats.org/officeDocument/2006/relationships/image" Target="images/2c97890a-7a79-49cc-a14a-d405fa5fab7e.png"/><Relationship Id="configuracoes" Type="http://schemas.openxmlformats.org/officeDocument/2006/relationships/image" Target="images/aa1b37b6-6562-4e8c-a3b1-0a57ba851db1.png"/><Relationship Id="carregar" Type="http://schemas.openxmlformats.org/officeDocument/2006/relationships/image" Target="images/60085480-fe10-4feb-a95c-a511c5c7e571.png"/><Relationship Id="salvar" Type="http://schemas.openxmlformats.org/officeDocument/2006/relationships/image" Target="images/b41a0781-afbf-4f45-97fa-a907f0019005.png"/><Relationship Id="rodar" Type="http://schemas.openxmlformats.org/officeDocument/2006/relationships/image" Target="images/d7c759aa-0f39-4f93-b892-e65442d617c0.png"/><Relationship Id="manual" Type="http://schemas.openxmlformats.org/officeDocument/2006/relationships/image" Target="images/e45b1e78-67d6-4c78-9855-74add0c5fa3a.png"/></Relationships>
</file>

<file path=customUI/customUI.xml><?xml version="1.0" encoding="utf-8"?>
<customUI xmlns="http://schemas.microsoft.com/office/2006/01/customui">
  <ribbon>
    <tabs>
      <tab id="customTab" label="Curto Circuito" insertAfterMso="TabHome">
        <group id="casos_estudo" label="Casos de Estudo">
          <button id="anafas" label="Caso ANAFAS" size="normal" onAction="b_anafas" image="exportar"/>
          <button id="carregar" label="Caso Xlfaults" size="normal" onAction="b_xlfaults" image="carregar"/>
          <button id="salvar" label="Salvar" size="normal" onAction="b_salvar" image="salvar"/>
          <button id="apagar" label="Apagar Tudo" size="normal" onAction="b_apagar" image="limpar"/>
        </group>
        <group id="elementos_sistema" label="Elementos Sistema Elétrico">
          <button id="barramentos" label="Barramentos" size="large" onAction="b_barramentos" image="barra"/>
          <button id="transformador" label="Transformadores" size="large" onAction="b_transformadores" image="transformador"/>
          <button id="linha" label="Linhas de Transmissão" size="large" onAction="b_linhas" image="linha"/>
          <button id="maquina" label="Máquinas" size="large" onAction="b_maquinas" image="maquina"/>
          <button id="shunt" label="Carga" size="large" onAction="b_carga" image="shunt"/>
          <button id="transformador3E" label="Transformador 3 Enrolamentos" size="large" onAction="b_transformador3E" image="transformador_3_enrolamentos"/>
        </group>
        <group id="simulacao" label="Simulação e Configurações">
          <editBox id="potencia_base" label="Potência Base (MVA)" onChange="t_potencia_base" sizeString="XXXXXXX"/>
          <editBox id="nome_caso" label="Nome Caso" onChange="t_caso_estudo" sizeString="XXXXXXXXXXX"/>
          <dropDown id="real_ou_pu" label="Unidade dos Resultados" onAction="b_real_ou_pu">
            <item id="pu" label="PU"/>
            <item id="real" label="Real"/>
          </dropDown>
          <button id="configuracoes" label="Configurações" size="large" onAction="b_configuracoes" image="configuracoes"/>
          <button id="diagrama" label="Diagrama Unifilar" size="large" onAction="b_diagrama" image="diagrama"/>
          <button id="rodar" label="Rodar Simulação" size="large" onAction="b_rodar" image="rodar"/>
        </group>
        <group id="matrizes" label="Resultados">
          <menu id="matrizes_" label="Matrizes" size="large" image="matriz">
            <button id="matriz_y_12" label="Y Barra (+) (-)" onAction="b_matriz_y_12"/>
            <button id="matriz_z_12" label="Z Barra (+) (-)" onAction="b_matriz_z_12"/>
            <button id="matriz_y_0" label="Y Barra (0)" onAction="b_matriz_y_0"/>
            <button id="matriz_z_0" label="Z Barra (0)" onAction="b_matriz_z_0"/>
          </menu>
          <separator/>
          <button id="resultados" label="Relatório" size="large" onAction="b_relatorio" image="relatorio"/>
        </group>
        <group id="informacoes_adicionais" label="Informações Adicionais">
          <button id="informacoes" label="Motivações do Trabalho" size="large" onAction="b_informacoes" image="informacoes"/>
          <button id="manual" label="Manual" size="large" onAction="b_manual" image="manual"/>
          <button id="desenvolvedor" label="Desenvolvedor" size="large" onAction="b_desenvolvedor" image="desenvolvedor"/>
          <button id="github" label="GitHub" size="large" onAction="b_github" image="github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1</vt:i4>
      </vt:variant>
    </vt:vector>
  </HeadingPairs>
  <TitlesOfParts>
    <vt:vector size="16" baseType="lpstr">
      <vt:lpstr>Teste</vt:lpstr>
      <vt:lpstr>Oculto</vt:lpstr>
      <vt:lpstr>Pendências</vt:lpstr>
      <vt:lpstr>Configurações</vt:lpstr>
      <vt:lpstr>Barramentos</vt:lpstr>
      <vt:lpstr>Transformadores</vt:lpstr>
      <vt:lpstr>Linhas de Transmissão</vt:lpstr>
      <vt:lpstr>Máquinas</vt:lpstr>
      <vt:lpstr>Carga</vt:lpstr>
      <vt:lpstr>Transformadores 3 Enrolamentos</vt:lpstr>
      <vt:lpstr>Y Barra (+) (-)</vt:lpstr>
      <vt:lpstr>Z Barra (+) (-)</vt:lpstr>
      <vt:lpstr>Y Barra (0)</vt:lpstr>
      <vt:lpstr>Z Barra (0)</vt:lpstr>
      <vt:lpstr>Relatório</vt:lpstr>
      <vt:lpstr>Potencia_Base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Murad de Freitas</dc:creator>
  <cp:lastModifiedBy>Daniel Murad de Freitas</cp:lastModifiedBy>
  <dcterms:created xsi:type="dcterms:W3CDTF">2026-03-12T17:51:29Z</dcterms:created>
  <dcterms:modified xsi:type="dcterms:W3CDTF">2026-03-29T00:26:57Z</dcterms:modified>
</cp:coreProperties>
</file>
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template\"/>
    </mc:Choice>
  </mc:AlternateContent>
  <xr:revisionPtr revIDLastSave="0" documentId="8_{A9BFC562-181C-47B6-AD3F-86269273D9AD}" xr6:coauthVersionLast="47" xr6:coauthVersionMax="47" xr10:uidLastSave="{00000000-0000-0000-0000-000000000000}"/>
  <bookViews>
    <workbookView xWindow="-120" yWindow="-120" windowWidth="29040" windowHeight="15720" tabRatio="497" firstSheet="2" activeTab="5" xr2:uid="{2D99AEA3-E3D3-48D2-BF79-9D8C0154BEA9}"/>
  </bookViews>
  <sheets>
    <sheet name="Teste" sheetId="16" state="hidden" r:id="rId1"/>
    <sheet name="Oculto" sheetId="14" state="hidden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3" l="1"/>
  <c r="I3" i="13" s="1"/>
  <c r="H3" i="13"/>
  <c r="M2" i="5"/>
  <c r="L2" i="5"/>
  <c r="K2" i="5"/>
  <c r="J2" i="5"/>
  <c r="M2" i="6"/>
  <c r="M3" i="6"/>
  <c r="R2" i="6"/>
  <c r="R3" i="6"/>
  <c r="Q2" i="6"/>
  <c r="Q3" i="6"/>
  <c r="P2" i="6"/>
  <c r="P3" i="6"/>
  <c r="O2" i="6"/>
  <c r="O3" i="6"/>
  <c r="N2" i="6"/>
  <c r="N3" i="6"/>
  <c r="H2" i="13"/>
  <c r="H4" i="13"/>
  <c r="G2" i="13"/>
  <c r="G4" i="13"/>
  <c r="D2" i="3"/>
  <c r="D3" i="3"/>
  <c r="D4" i="3"/>
  <c r="D5" i="3"/>
  <c r="G2" i="7"/>
  <c r="F2" i="7"/>
  <c r="T2" i="4"/>
  <c r="T3" i="4"/>
  <c r="S2" i="4"/>
  <c r="S3" i="4"/>
  <c r="R2" i="4"/>
  <c r="R3" i="4"/>
  <c r="Q2" i="4"/>
  <c r="Q3" i="4"/>
  <c r="U3" i="4"/>
  <c r="V3" i="4"/>
  <c r="W3" i="4"/>
  <c r="X3" i="4"/>
  <c r="I4" i="13" l="1"/>
  <c r="H2" i="7"/>
  <c r="Y3" i="4"/>
  <c r="I2" i="13"/>
  <c r="X2" i="4"/>
  <c r="W2" i="4"/>
  <c r="V2" i="4"/>
  <c r="U2" i="4"/>
  <c r="Y2" i="4" l="1"/>
  <c r="S3" i="6"/>
  <c r="N2" i="5" l="1"/>
  <c r="S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<sst xmlns="http://schemas.openxmlformats.org/spreadsheetml/2006/main" count="484" uniqueCount="249">
  <si>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</si>
  <si>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</si>
  <si>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</si>
  <si>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</si>
  <si>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</si>
  <si>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</si>
  <si>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</si>
  <si>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</si>
  <si>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</si>
  <si>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</si>
  <si>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</si>
  <si>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</si>
  <si>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</si>
  <si>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</si>
  <si>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</si>
  <si>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</si>
  <si>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</si>
  <si>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</si>
  <si>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</si>
  <si>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</si>
  <si>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</si>
  <si>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</si>
  <si>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</si>
  <si>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</si>
  <si>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</si>
  <si>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</si>
  <si>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</si>
  <si>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</si>
  <si>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</si>
  <si>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</si>
  <si>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</si>
  <si>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</si>
  <si>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</si>
  <si>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</si>
  <si>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</si>
  <si>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Linha 2-3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</si>
  <si>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</si>
  <si>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</si>
  <si>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</si>
  <si>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</si>
  <si>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</si>
  <si>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</si>
  <si>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</si>
  <si>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</si>
  <si>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</si>
  <si>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</si>
  <si>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</si>
  <si>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</si>
  <si>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</si>
  <si>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</si>
  <si>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</si>
  <si>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</si>
  <si>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</si>
  <si>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</si>
  <si>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</si>
  <si>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</si>
  <si>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</si>
  <si>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</si>
  <si>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</si>
  <si>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</si>
  <si>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</si>
  <si>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</si>
  <si>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</si>
  <si>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</si>
  <si>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</si>
  <si>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</si>
  <si>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</si>
  <si>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</si>
  <si>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</si>
  <si>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</si>
  <si>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</si>
  <si>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</si>
  <si>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</si>
  <si>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</si>
  <si>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</si>
  <si>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</si>
  <si>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</si>
  <si>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</si>
  <si>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</si>
  <si>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</si>
  <si>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</si>
  <si>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</si>
  <si>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</si>
  <si>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</si>
  <si>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</si>
  <si>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0.0000-30.0000j</t>
  </si>
  <si>
    <t>9)</t>
  </si>
  <si>
    <t>Resistência de Falta (Ω)</t>
  </si>
  <si>
    <t>Reatância de Falta (Ω)</t>
  </si>
  <si>
    <t>Reatância de Falta (pu)</t>
  </si>
  <si>
    <t>Resistência de Falta (pu)</t>
  </si>
  <si>
    <t xml:space="preserve">    </t>
  </si>
  <si>
    <t>Defasagem (°)</t>
  </si>
  <si>
    <t>Yt-D</t>
  </si>
  <si>
    <t>0.0000-5.0000j</t>
  </si>
  <si>
    <t>0.0000+0.0314j</t>
  </si>
  <si>
    <t>0.0000+0.3650j</t>
  </si>
  <si>
    <t>0.0000+0.1650j</t>
  </si>
  <si>
    <t>0.0000+0.1250j</t>
  </si>
  <si>
    <t>Incluir Trafo com tap variavel ???</t>
  </si>
  <si>
    <t>Remover linhas nans de todas as tabelas, podem ocasionar erros...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</si>
  <si>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</si>
  <si>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</si>
  <si>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</si>
  <si>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</si>
  <si>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</si>
  <si>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</si>
  <si>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11)</t>
  </si>
  <si>
    <t>Incluir tensão de pré falta</t>
  </si>
  <si>
    <t>7.1)</t>
  </si>
  <si>
    <t>Escolher uma cor e pintar colunas com fórmulas</t>
  </si>
  <si>
    <t>Status</t>
  </si>
  <si>
    <t>7.2)</t>
  </si>
  <si>
    <t>Coluna de status, informando se o preenchimento foi correto</t>
  </si>
  <si>
    <t>IF"</t>
  </si>
  <si>
    <t>Fase A</t>
  </si>
  <si>
    <t>Fase B</t>
  </si>
  <si>
    <t>Fase C</t>
  </si>
  <si>
    <t>Seq. (0)</t>
  </si>
  <si>
    <t>Seq. (+)</t>
  </si>
  <si>
    <t>Seq. (-)</t>
  </si>
  <si>
    <t>0.0000 ∠ 0.00°</t>
  </si>
  <si>
    <t>Barra</t>
  </si>
  <si>
    <t>Elemento</t>
  </si>
  <si>
    <t>Trafo 1 (Primário)</t>
  </si>
  <si>
    <t>Trafo 1 (Secundário)</t>
  </si>
  <si>
    <t>Trafo 2 (Primário)</t>
  </si>
  <si>
    <t>Trafo 2 (Secundário)</t>
  </si>
  <si>
    <t>Barramento</t>
  </si>
  <si>
    <t>12)</t>
  </si>
  <si>
    <t>13)</t>
  </si>
  <si>
    <t>14)</t>
  </si>
  <si>
    <t>Transformar projeto em suplemento</t>
  </si>
  <si>
    <t>15)</t>
  </si>
  <si>
    <t>Verificar variaveis e bibliotecas não utilizadas</t>
  </si>
  <si>
    <t>16)</t>
  </si>
  <si>
    <t>Deixar no requiremenets.txt apenas bibliotecas que são usadas</t>
  </si>
  <si>
    <t>17)</t>
  </si>
  <si>
    <t>Ajustar pente fino Ribbon</t>
  </si>
  <si>
    <t>IEEE 4 Barras - RJ-MG-SP</t>
  </si>
  <si>
    <t>Real</t>
  </si>
  <si>
    <t>Correntes de Curto Circuito (kA)</t>
  </si>
  <si>
    <t>Tensões nos Barramentos (kV)</t>
  </si>
  <si>
    <t>8.6603 ∠ -90.00°</t>
  </si>
  <si>
    <t>Correntes de Contribuição (kA)</t>
  </si>
  <si>
    <t>Correntes Injetadas nos Barramentos (kA)</t>
  </si>
  <si>
    <t>19.2450 ∠ -90.00°</t>
  </si>
  <si>
    <t>19.2450 ∠ 150.00°</t>
  </si>
  <si>
    <t>19.2450 ∠ 30.00°</t>
  </si>
  <si>
    <t>15.3960 ∠ 150.00°</t>
  </si>
  <si>
    <t>15.3960 ∠ 30.00°</t>
  </si>
  <si>
    <t>57.7860 ∠ 90.00°</t>
  </si>
  <si>
    <t>37.7640 ∠ 130.08°</t>
  </si>
  <si>
    <t>37.7640 ∠ 49.92°</t>
  </si>
  <si>
    <t>19.2620 ∠ 90.00°</t>
  </si>
  <si>
    <t>23.6704 ∠ -90.00°</t>
  </si>
  <si>
    <t>4.4084 ∠ 90.00°</t>
  </si>
  <si>
    <t>4.0790 ∠ 0.00°</t>
  </si>
  <si>
    <t>1.3597 ∠ 0.00°</t>
  </si>
  <si>
    <t>67.3958 ∠ -8.92°</t>
  </si>
  <si>
    <t>67.3958 ∠ -171.08°</t>
  </si>
  <si>
    <t>20.8982 ∠ 90.00°</t>
  </si>
  <si>
    <t>48.8895 ∠ -30.00°</t>
  </si>
  <si>
    <t>27.9914 ∠ 30.00°</t>
  </si>
  <si>
    <t>99.4808 ∠ -19.56°</t>
  </si>
  <si>
    <t>99.4808 ∠ -160.44°</t>
  </si>
  <si>
    <t>66.6130 ∠ 90.00°</t>
  </si>
  <si>
    <t>87.4271 ∠ -30.00°</t>
  </si>
  <si>
    <t>20.8141 ∠ 30.00°</t>
  </si>
  <si>
    <t>4.9082 ∠ -22.09°</t>
  </si>
  <si>
    <t>4.9082 ∠ -157.91°</t>
  </si>
  <si>
    <t>3.6913 ∠ 90.00°</t>
  </si>
  <si>
    <t>4.4714 ∠ -30.00°</t>
  </si>
  <si>
    <t>0.7801 ∠ 30.00°</t>
  </si>
  <si>
    <t>0.2982 ∠ 49.92°</t>
  </si>
  <si>
    <t>0.2982 ∠ -49.92°</t>
  </si>
  <si>
    <t>0.3841 ∠ 180.00°</t>
  </si>
  <si>
    <t>0.3238 ∠ 60.00°</t>
  </si>
  <si>
    <t>0.0603 ∠ -60.00°</t>
  </si>
  <si>
    <t>7.1591 ∠ -90.00°</t>
  </si>
  <si>
    <t>20.9200 ∠ 142.81°</t>
  </si>
  <si>
    <t>20.9200 ∠ 37.19°</t>
  </si>
  <si>
    <t>6.0430 ∠ 90.00°</t>
  </si>
  <si>
    <t>16.2235 ∠ -90.00°</t>
  </si>
  <si>
    <t>3.0215 ∠ 90.00°</t>
  </si>
  <si>
    <t>6.8594 ∠ -130.08°</t>
  </si>
  <si>
    <t>6.8594 ∠ 130.08°</t>
  </si>
  <si>
    <t>8.8338 ∠ -0.00°</t>
  </si>
  <si>
    <t>7.4469 ∠ -120.00°</t>
  </si>
  <si>
    <t>1.3869 ∠ 120.00°</t>
  </si>
  <si>
    <t>6.0599 ∠ 90.00°</t>
  </si>
  <si>
    <t>8.2285 ∠ -21.61°</t>
  </si>
  <si>
    <t>8.2285 ∠ -158.39°</t>
  </si>
  <si>
    <t>7.4469 ∠ 90.00°</t>
  </si>
  <si>
    <t>1.3869 ∠ -90.00°</t>
  </si>
  <si>
    <t>6.8594 ∠ 49.92°</t>
  </si>
  <si>
    <t>6.8594 ∠ -49.92°</t>
  </si>
  <si>
    <t>8.8338 ∠ 180.00°</t>
  </si>
  <si>
    <t>7.4469 ∠ 60.00°</t>
  </si>
  <si>
    <t>1.3869 ∠ -60.00°</t>
  </si>
  <si>
    <t>20.7335 ∠ -68.35°</t>
  </si>
  <si>
    <t>20.7335 ∠ -111.65°</t>
  </si>
  <si>
    <t>19.2620 ∠ -90.00°</t>
  </si>
  <si>
    <t>4.4254 ∠ 90.00°</t>
  </si>
  <si>
    <t>4.4084 ∠ -90.00°</t>
  </si>
  <si>
    <t>15.3960 ∠ -90.00°</t>
  </si>
  <si>
    <t>Curto Circuito Bifásico-Terra na Barra 1 - Tensão Pré Falta 1 ∠ 0° PU - Impedância de falta 0j PU</t>
  </si>
  <si>
    <t>5.2263 ∠ -52.88°</t>
  </si>
  <si>
    <t>1.7421 ∠ -52.88°</t>
  </si>
  <si>
    <t>8.1307 ∠ 29.53°</t>
  </si>
  <si>
    <t>8.4669 ∠ 146.67°</t>
  </si>
  <si>
    <t>8.4165 ∠ 28.73°</t>
  </si>
  <si>
    <t>0.3083 ∠ -172.88°</t>
  </si>
  <si>
    <t>177.1555 ∠ -5.61°</t>
  </si>
  <si>
    <t>201.5448 ∠ -120.28°</t>
  </si>
  <si>
    <t>198.8850 ∠ 120.73°</t>
  </si>
  <si>
    <t>11.2693 ∠ -142.88°</t>
  </si>
  <si>
    <t>192.3114 ∠ -1.57°</t>
  </si>
  <si>
    <t>8.7116 ∠ -142.88°</t>
  </si>
  <si>
    <t>172.0141 ∠ -7.21°</t>
  </si>
  <si>
    <t>198.2763 ∠ -119.89°</t>
  </si>
  <si>
    <t>199.3107 ∠ 119.72°</t>
  </si>
  <si>
    <t>189.5569 ∠ -2.24°</t>
  </si>
  <si>
    <t>12.2570 ∠ -142.88°</t>
  </si>
  <si>
    <t>7.3912 ∠ -7.88°</t>
  </si>
  <si>
    <t>8.5640 ∠ -119.73°</t>
  </si>
  <si>
    <t>8.6738 ∠ 119.31°</t>
  </si>
  <si>
    <t>0.4900 ∠ -142.88°</t>
  </si>
  <si>
    <t>8.1940 ∠ -2.51°</t>
  </si>
  <si>
    <t>0.5946 ∠ -142.88°</t>
  </si>
  <si>
    <t>0.0596 ∠ -52.88°</t>
  </si>
  <si>
    <t>0.0298 ∠ 127.12°</t>
  </si>
  <si>
    <t>0.0298 ∠ -52.88°</t>
  </si>
  <si>
    <t>1.1866 ∠ -52.88°</t>
  </si>
  <si>
    <t>1.1866 ∠ 127.12°</t>
  </si>
  <si>
    <t>0.6851 ∠ -22.88°</t>
  </si>
  <si>
    <t>0.6851 ∠ -82.88°</t>
  </si>
  <si>
    <t>3.8561 ∠ -52.88°</t>
  </si>
  <si>
    <t>0.6851 ∠ -52.88°</t>
  </si>
  <si>
    <t>1.0570 ∠ -52.88°</t>
  </si>
  <si>
    <t>1.3702 ∠ -52.88°</t>
  </si>
  <si>
    <t>0.6851 ∠ 127.12°</t>
  </si>
  <si>
    <t>11.6632 ∠ -105.69°</t>
  </si>
  <si>
    <t>1.7421 ∠ 127.12°</t>
  </si>
  <si>
    <t>14.0463 ∠ -94.29°</t>
  </si>
  <si>
    <t>Data: 07/04/2026 11:24:40</t>
  </si>
  <si>
    <t>Curto Circuito Monofásico na Barra 4 - Tensão Pré Falta 1 ∠ 0° PU - Impedância de falta (0.44+0.44j) PU</t>
  </si>
  <si>
    <t>Realizar a redução de Kron - proxima Versão</t>
  </si>
  <si>
    <t>Incluir trafo com 3 enrolamentos - Próxima Versão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</si>
</sst>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/>
    <xf numFmtId="0" fontId="2" fillId="0" borderId="0" xfId="0" applyFont="1"/>
    <xf numFmtId="0" fontId="4" fillId="0" borderId="0" xfId="0" applyFont="1" applyAlignment="1">
      <alignment horizontal="left"/>
    </xf>
    <xf numFmtId="0" fontId="5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0" fillId="5" borderId="0" xfId="0" applyFill="1"/>
    <xf numFmtId="0" fontId="0" fillId="6" borderId="0" xfId="0" applyFill="1"/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0" fillId="0" borderId="0" xfId="0" applyNumberFormat="1" applyAlignment="1" applyProtection="1">
      <alignment horizontal="center"/>
      <protection locked="0" hidden="1"/>
    </xf>
  </cellXfs>
  <cellStyles count="1"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4" insertRowShift="1" totalsRowShown="0" headerRowDxfId="39" dataDxfId="38">
  <autoFilter ref="A1:I4" xr:uid="{193FD222-520A-4DD8-BE18-987EE612A9D0}"/>
  <tableColumns count="9">
    <tableColumn id="3" xr3:uid="{CA127CF5-E49A-4A9B-B187-4761AA1A79D7}" name="Tipo de Curto Circuito" dataDxfId="45"/>
    <tableColumn id="4" xr3:uid="{88F28AA7-C36A-4434-AD6B-50BE92E74F4D}" name="Barra de Ocorrência" dataDxfId="44"/>
    <tableColumn id="1" xr3:uid="{F4241A51-9F4A-4C52-8A84-2A790858DBF2}" name="Resistência de Falta (Ω)" dataDxfId="43"/>
    <tableColumn id="5" xr3:uid="{27F9348A-202C-4C0A-A004-3C442352EC0A}" name="Reatância de Falta (Ω)" dataDxfId="42"/>
    <tableColumn id="7" xr3:uid="{4EDE8271-7299-42E4-8C91-5F8E909EDF0D}" name="Módulo Tensão Pré-Falta (pu)" dataDxfId="41"/>
    <tableColumn id="8" xr3:uid="{F28A6798-519F-471F-90C9-C4B09058FAAC}" name="Ângulo Tensão Pré-Falta (graus)" dataDxfId="40"/>
    <tableColumn id="6" xr3:uid="{1BF22A3B-7D9D-4AC4-95DB-628DCE968BE5}" name="Resistência de Falta (pu)" dataDxfId="34">
      <calculatedColumnFormula>IFERROR(Configurações[[#This Row],[Resistência de Falta (Ω)]] /
(
POWER(
_xlfn.XLOOKUP(Configurações[[#This Row],[Barra de Ocorrência]],Barramentos[Número],Barramentos[Tensão (kV)],"-",0),
2
)
/Potencia_Base
),"")</calculatedColumnFormula>
    </tableColumn>
    <tableColumn id="2" xr3:uid="{FC313323-B754-419A-A51D-9355F8FB163F}" name="Reatância de Falta (pu)" dataDxfId="33">
      <calculatedColumnFormula>IFERROR(Configurações[[#This Row],[Reatância de Falta (Ω)]] /
(
POWER(
_xlfn.XLOOKUP(Configurações[[#This Row],[Barra de Ocorrência]],Barramentos[Número],Barramentos[Tensão (kV)],"-",0),
2
)
/Potencia_Base
),"")</calculatedColumnFormula>
    </tableColumn>
    <tableColumn id="9" xr3:uid="{1AB1BCD0-DB2C-4DFA-AECC-9FE4FB916AB2}" name="Status" dataDxfId="37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50">
  <autoFilter ref="A1:D5" xr:uid="{185A231E-D573-421A-8DE0-86DC8EC5B091}"/>
  <tableColumns count="4">
    <tableColumn id="1" xr3:uid="{8EBD12C1-4E78-43A6-AE95-30F1337B03D1}" name="Nome" dataDxfId="49"/>
    <tableColumn id="2" xr3:uid="{CFD29857-E1CA-4766-A849-933A0A451513}" name="Número" dataDxfId="48"/>
    <tableColumn id="3" xr3:uid="{B100B757-52E1-499F-9BC6-78F92CB8E714}" name="Tensão (kV)" dataDxfId="47"/>
    <tableColumn id="4" xr3:uid="{45DAEBD0-AEA5-404D-83FA-86673FA4DA4E}" name="Status" dataDxfId="46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114">
  <autoFilter ref="A1:Y3" xr:uid="{A4AC50ED-6DE4-4C38-93EE-BDF3497EA246}"/>
  <tableColumns count="25">
    <tableColumn id="1" xr3:uid="{39101201-31D4-4805-BA09-578CF4254661}" name="Nome" dataDxfId="113"/>
    <tableColumn id="2" xr3:uid="{82F12B74-9B8E-4129-9D60-29194591E977}" name="Potência Nominal (MVA)" dataDxfId="112"/>
    <tableColumn id="3" xr3:uid="{3676778F-0DD3-4FF1-ABF3-91F631C97AB9}" name="Barra de" dataDxfId="111"/>
    <tableColumn id="4" xr3:uid="{85CA93BC-10AF-4454-9E5C-AB0AA858497E}" name="Tensão Primário (kV)" dataDxfId="110"/>
    <tableColumn id="5" xr3:uid="{F6BF0648-8461-4D3C-BAF8-B44FF50EBC42}" name="Barra para" dataDxfId="109"/>
    <tableColumn id="6" xr3:uid="{788BEFB8-3595-4644-A922-A3C31BA8827C}" name="Tensão Secundário (kV)" dataDxfId="108"/>
    <tableColumn id="17" xr3:uid="{643462F2-B827-4D92-BB8D-B63F2A8B46DE}" name="R1 (%)" dataDxfId="107"/>
    <tableColumn id="18" xr3:uid="{978EA81F-1DF1-4135-9DED-967EDBEF3113}" name="R0 (%)" dataDxfId="106"/>
    <tableColumn id="19" xr3:uid="{7114C9F7-2A77-4742-998E-9665ED40D853}" name="RN P (%)" dataDxfId="105"/>
    <tableColumn id="20" xr3:uid="{E2838565-8CDC-4D7D-9D23-62F5CCD93DBC}" name="RN S (%)" dataDxfId="104"/>
    <tableColumn id="7" xr3:uid="{B0A73F71-8999-46E8-8E3D-7A74ED6AD1DE}" name="X1 (%)" dataDxfId="103"/>
    <tableColumn id="8" xr3:uid="{683A169E-13B2-47A8-905B-31A9A7946BFF}" name="X0 (%)" dataDxfId="102"/>
    <tableColumn id="9" xr3:uid="{0CED62B1-AB9E-472F-B905-855FCDDA5621}" name="XN P (%)" dataDxfId="101"/>
    <tableColumn id="10" xr3:uid="{5A25097B-1431-4425-93D5-7DA14A630D4D}" name="XN S (%)" dataDxfId="100"/>
    <tableColumn id="11" xr3:uid="{17BC764E-AC0C-41D2-A895-E25CF32BD66D}" name="Tipo de Conexão" dataDxfId="99"/>
    <tableColumn id="16" xr3:uid="{C26B22AC-395A-4831-B51C-EDF601536FBA}" name="Defasagem (°)" dataDxfId="98"/>
    <tableColumn id="21" xr3:uid="{E121F7A3-274E-4A17-BA4E-674BD1AB4224}" name="R1 (pu) Base" dataDxfId="97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96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95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94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93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92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91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90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89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88">
  <autoFilter ref="A1:N2" xr:uid="{4C6B18B1-E121-4D7E-AA00-B30E64F151BF}"/>
  <tableColumns count="14">
    <tableColumn id="1" xr3:uid="{30120507-59B7-4E39-9736-DD004A4CF5CB}" name="Nome" dataDxfId="87"/>
    <tableColumn id="2" xr3:uid="{AB8230B4-9A4A-44EF-BB87-C4CACBD18C5F}" name="Barra de" dataDxfId="86"/>
    <tableColumn id="3" xr3:uid="{B4EB3D4B-781C-4650-BEEA-30E6D7A81A35}" name="Barra para" dataDxfId="85"/>
    <tableColumn id="4" xr3:uid="{330EF97A-C5A9-4C11-9A8E-CE8C64A31B98}" name="Tensão (kV)" dataDxfId="84"/>
    <tableColumn id="5" xr3:uid="{E8D819A1-6394-472E-9E16-3B2EA093E29D}" name="Potência Nominal (MVA)" dataDxfId="83"/>
    <tableColumn id="6" xr3:uid="{F11529B5-BE00-42BC-890E-64E0E6AFF6F1}" name="R1 (%)" dataDxfId="82"/>
    <tableColumn id="7" xr3:uid="{CFED6F8E-5D17-4662-ACC5-C3E2ABE880FB}" name="R0 (%)" dataDxfId="81"/>
    <tableColumn id="8" xr3:uid="{7430D406-FE3E-4B08-BB6D-3A8D932E918D}" name="X1 (%)" dataDxfId="80"/>
    <tableColumn id="9" xr3:uid="{94284ABF-4FFF-4BE1-B200-614B09A8B34C}" name="X0 (%)" dataDxfId="79"/>
    <tableColumn id="10" xr3:uid="{C5D7E913-E161-4147-8CA6-551A69411E75}" name="R1 (pu) Base" dataDxfId="78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1" xr3:uid="{1A614F9D-2C12-4960-84A0-E7AB92429555}" name="R0 (pu) Base" dataDxfId="77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2" xr3:uid="{0E6E9D2C-9281-4656-969A-620794973D34}" name="X1 (pu) Base" dataDxfId="76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3" xr3:uid="{6C2201FE-42D6-4DF0-B3EF-A735978E4650}" name="X0 (pu) Base" dataDxfId="75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4" xr3:uid="{D9FAADF6-F52F-4673-BF77-01DD1C973274}" name="Status" dataDxfId="74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73">
  <autoFilter ref="A1:S3" xr:uid="{B599559C-32F1-4236-AECA-7D9877860AA5}"/>
  <tableColumns count="19">
    <tableColumn id="1" xr3:uid="{37D2B7CF-5760-4FE5-B9E3-B0DCD2A26D81}" name="Nome" dataDxfId="72"/>
    <tableColumn id="2" xr3:uid="{DDB0FCF3-D10E-454C-83FE-382C8D19A917}" name="Tipo de Máquina" dataDxfId="71"/>
    <tableColumn id="3" xr3:uid="{41B724F9-FA51-4405-81DF-58B3AE9B4DBC}" name="Barra Conectada" dataDxfId="70"/>
    <tableColumn id="4" xr3:uid="{6B3CE436-99E4-492E-85DA-15FB0B060EDA}" name="Potência Nominal (MVA)" dataDxfId="69"/>
    <tableColumn id="5" xr3:uid="{E5D2863F-65FE-4C5B-A9EB-346763EA179D}" name="Tensão (kV)" dataDxfId="68"/>
    <tableColumn id="6" xr3:uid="{68B25089-7F4B-4E85-8AAE-DE5FA47E5B93}" name="R1 (%)" dataDxfId="67"/>
    <tableColumn id="7" xr3:uid="{D4859BAA-B7F8-4C05-B645-D585A105F903}" name="R0 (%)" dataDxfId="66"/>
    <tableColumn id="17" xr3:uid="{409E9AB5-8B08-48E6-A7A0-793C14053FCE}" name="RN (%)" dataDxfId="65"/>
    <tableColumn id="8" xr3:uid="{BBBE4417-080E-4E8B-BC6C-05E4524DE3F5}" name="X1 (%)" dataDxfId="64"/>
    <tableColumn id="9" xr3:uid="{05140983-8FCC-4839-B46F-8E7004364620}" name="X0 (%)" dataDxfId="63"/>
    <tableColumn id="10" xr3:uid="{BF9AB535-205A-4F79-84D5-5550453715EF}" name="XN (%)" dataDxfId="62"/>
    <tableColumn id="11" xr3:uid="{3102012A-28C3-429F-ABCF-987A3E858B48}" name="Tipo de Conexão" dataDxfId="61"/>
    <tableColumn id="12" xr3:uid="{E1B4EC4F-7076-41FF-BCB0-E7F6CF0E98EF}" name="R1 (pu) Base" dataDxfId="21">
      <calculatedColumnFormula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3" xr3:uid="{92B538A9-5C58-47C5-9C6B-1D55720C45D7}" name="R0 (pu) Base" dataDxfId="26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9" xr3:uid="{9CD2F29C-116E-42CC-803E-DC7192FA4C57}" name="RN (pu) Base" dataDxfId="25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4" xr3:uid="{0ECCD92D-2C71-4E29-8D85-5CC3CE9C7289}" name="X1 (pu) Base" dataDxfId="24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5" xr3:uid="{D6E9DCA9-5484-4093-AC90-911A5FDC2769}" name="X0 (pu) Base" dataDxfId="23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6" xr3:uid="{EC88726C-0DDD-49C1-935E-CBFE5D75D870}" name="XN (pu) Base" dataDxfId="22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8" xr3:uid="{9783863A-A941-4806-A16C-320774174B82}" name="Status" dataDxfId="60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59">
  <autoFilter ref="A1:H2" xr:uid="{A5F92FF0-A218-472D-B9E3-FC6DA3123327}"/>
  <tableColumns count="8">
    <tableColumn id="1" xr3:uid="{910FA3BB-C4BB-4AC3-AF9E-D80012ED1C16}" name="Nome" dataDxfId="58"/>
    <tableColumn id="2" xr3:uid="{F4DC6F70-034F-4E4F-BC64-1BAA423C9AB6}" name="Barra Conectada" dataDxfId="57"/>
    <tableColumn id="4" xr3:uid="{4208AB9B-5640-49E2-9518-C539EBBA5291}" name="Potência Ativa (MW)" dataDxfId="56"/>
    <tableColumn id="5" xr3:uid="{471FEBBB-894E-44C5-8AF7-578155197899}" name="Potência Reativa (MVAr)" dataDxfId="55"/>
    <tableColumn id="6" xr3:uid="{3161E565-B978-4834-B215-F8B8B19F1373}" name="Tipo de Conexão" dataDxfId="54"/>
    <tableColumn id="7" xr3:uid="{0BD04F28-6FD5-49ED-863C-5834525FEF1B}" name="R1 (pu) Base" dataDxfId="53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52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51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P5" sqref="P5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139</v>
      </c>
    </row>
    <row r="3" spans="1:1" x14ac:dyDescent="0.25">
      <c r="A3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G21"/>
  <sheetViews>
    <sheetView workbookViewId="0">
      <selection activeCell="C24" sqref="C24"/>
    </sheetView>
  </sheetViews>
  <sheetFormatPr defaultRowHeight="15" x14ac:dyDescent="0.25"/>
  <sheetData>
    <row r="1" spans="1:7" s="8" customFormat="1" x14ac:dyDescent="0.25">
      <c r="A1" s="8" t="s">
        <v>41</v>
      </c>
      <c r="B1" s="8" t="s">
        <v>40</v>
      </c>
    </row>
    <row r="2" spans="1:7" s="8" customFormat="1" x14ac:dyDescent="0.25">
      <c r="A2" s="8" t="s">
        <v>42</v>
      </c>
      <c r="B2" s="8" t="s">
        <v>43</v>
      </c>
    </row>
    <row r="3" spans="1:7" s="8" customFormat="1" x14ac:dyDescent="0.25">
      <c r="A3" s="8" t="s">
        <v>44</v>
      </c>
      <c r="B3" s="8" t="s">
        <v>45</v>
      </c>
    </row>
    <row r="4" spans="1:7" s="21" customFormat="1" x14ac:dyDescent="0.25">
      <c r="A4" s="21" t="s">
        <v>46</v>
      </c>
      <c r="B4" s="21" t="s">
        <v>47</v>
      </c>
    </row>
    <row r="5" spans="1:7" s="8" customFormat="1" x14ac:dyDescent="0.25">
      <c r="A5" s="8" t="s">
        <v>48</v>
      </c>
      <c r="B5" s="8" t="s">
        <v>49</v>
      </c>
    </row>
    <row r="6" spans="1:7" s="8" customFormat="1" x14ac:dyDescent="0.25">
      <c r="A6" s="8" t="s">
        <v>50</v>
      </c>
      <c r="B6" s="8" t="s">
        <v>51</v>
      </c>
    </row>
    <row r="7" spans="1:7" s="22" customFormat="1" x14ac:dyDescent="0.25">
      <c r="A7" s="22" t="s">
        <v>52</v>
      </c>
      <c r="B7" s="22" t="s">
        <v>99</v>
      </c>
    </row>
    <row r="8" spans="1:7" s="8" customFormat="1" x14ac:dyDescent="0.25">
      <c r="A8" s="8" t="s">
        <v>53</v>
      </c>
      <c r="B8" s="8" t="s">
        <v>54</v>
      </c>
    </row>
    <row r="9" spans="1:7" s="22" customFormat="1" x14ac:dyDescent="0.25">
      <c r="A9" s="22" t="s">
        <v>55</v>
      </c>
      <c r="B9" s="22" t="s">
        <v>56</v>
      </c>
      <c r="G9" s="22" t="s">
        <v>91</v>
      </c>
    </row>
    <row r="10" spans="1:7" s="21" customFormat="1" x14ac:dyDescent="0.25">
      <c r="A10" s="21" t="s">
        <v>57</v>
      </c>
      <c r="B10" s="21" t="s">
        <v>58</v>
      </c>
    </row>
    <row r="11" spans="1:7" s="8" customFormat="1" x14ac:dyDescent="0.25">
      <c r="A11" s="8" t="s">
        <v>109</v>
      </c>
      <c r="B11" s="8" t="s">
        <v>110</v>
      </c>
    </row>
    <row r="12" spans="1:7" s="8" customFormat="1" x14ac:dyDescent="0.25">
      <c r="A12" s="8" t="s">
        <v>112</v>
      </c>
      <c r="B12" s="8" t="s">
        <v>113</v>
      </c>
    </row>
    <row r="13" spans="1:7" s="8" customFormat="1" x14ac:dyDescent="0.25">
      <c r="A13" s="8" t="s">
        <v>61</v>
      </c>
      <c r="B13" s="8" t="s">
        <v>62</v>
      </c>
    </row>
    <row r="14" spans="1:7" s="22" customFormat="1" x14ac:dyDescent="0.25">
      <c r="A14" s="22" t="s">
        <v>86</v>
      </c>
      <c r="B14" s="22" t="s">
        <v>100</v>
      </c>
    </row>
    <row r="15" spans="1:7" s="8" customFormat="1" x14ac:dyDescent="0.25">
      <c r="A15" s="8" t="s">
        <v>107</v>
      </c>
      <c r="B15" s="8" t="s">
        <v>108</v>
      </c>
    </row>
    <row r="16" spans="1:7" s="22" customFormat="1" x14ac:dyDescent="0.25">
      <c r="A16" s="22" t="s">
        <v>129</v>
      </c>
      <c r="B16" s="22" t="s">
        <v>247</v>
      </c>
    </row>
    <row r="17" spans="1:2" s="22" customFormat="1" x14ac:dyDescent="0.25">
      <c r="A17" s="22" t="s">
        <v>130</v>
      </c>
      <c r="B17" s="22" t="s">
        <v>248</v>
      </c>
    </row>
    <row r="18" spans="1:2" x14ac:dyDescent="0.25">
      <c r="A18" t="s">
        <v>131</v>
      </c>
      <c r="B18" t="s">
        <v>132</v>
      </c>
    </row>
    <row r="19" spans="1:2" x14ac:dyDescent="0.25">
      <c r="A19" t="s">
        <v>133</v>
      </c>
      <c r="B19" t="s">
        <v>134</v>
      </c>
    </row>
    <row r="20" spans="1:2" x14ac:dyDescent="0.25">
      <c r="A20" t="s">
        <v>135</v>
      </c>
      <c r="B20" t="s">
        <v>136</v>
      </c>
    </row>
    <row r="21" spans="1:2" x14ac:dyDescent="0.25">
      <c r="A21" t="s">
        <v>137</v>
      </c>
      <c r="B21" t="s">
        <v>138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4"/>
  <sheetViews>
    <sheetView showGridLines="0" zoomScaleNormal="100" workbookViewId="0">
      <selection activeCell="C8" sqref="C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0.140625" style="23" customWidth="1"/>
    <col min="2" max="2" width="27" style="23" customWidth="1"/>
    <col min="3" max="3" width="29" style="23" customWidth="1"/>
    <col min="4" max="4" width="27.140625" style="23" customWidth="1"/>
    <col min="5" max="5" width="34.140625" style="23" customWidth="1"/>
    <col min="6" max="6" width="36" style="23" customWidth="1"/>
    <col min="7" max="7" width="29.7109375" style="23" customWidth="1"/>
    <col min="8" max="8" width="30.7109375" style="25" customWidth="1"/>
    <col min="9" max="9" width="23.28515625" style="25" bestFit="1" customWidth="1"/>
    <col min="10" max="16384" width="9.140625" style="25"/>
  </cols>
  <sheetData>
    <row r="1" spans="1:9" x14ac:dyDescent="0.25">
      <c r="A1" s="23" t="s">
        <v>27</v>
      </c>
      <c r="B1" s="23" t="s">
        <v>28</v>
      </c>
      <c r="C1" s="23" t="s">
        <v>87</v>
      </c>
      <c r="D1" s="23" t="s">
        <v>88</v>
      </c>
      <c r="E1" s="23" t="s">
        <v>105</v>
      </c>
      <c r="F1" s="23" t="s">
        <v>106</v>
      </c>
      <c r="G1" s="24" t="s">
        <v>90</v>
      </c>
      <c r="H1" s="24" t="s">
        <v>89</v>
      </c>
      <c r="I1" s="24" t="s">
        <v>111</v>
      </c>
    </row>
    <row r="2" spans="1:9" x14ac:dyDescent="0.25">
      <c r="A2" s="23" t="s">
        <v>63</v>
      </c>
      <c r="B2" s="26">
        <v>4</v>
      </c>
      <c r="C2" s="23">
        <v>2</v>
      </c>
      <c r="D2" s="23">
        <v>2</v>
      </c>
      <c r="E2" s="27">
        <v>1</v>
      </c>
      <c r="F2" s="27">
        <v>0</v>
      </c>
      <c r="G2" s="28">
        <f>IFERROR(Configurações[[#This Row],[Resistência de Falta (Ω)]] /
(
POWER(
_xlfn.XLOOKUP(Configurações[[#This Row],[Barra de Ocorrência]],Barramentos[Número],Barramentos[Tensão (kV)],"-",0),
2
)
/Potencia_Base
),"")</f>
        <v>0.88888888888888884</v>
      </c>
      <c r="H2" s="28">
        <f>IFERROR(Configurações[[#This Row],[Reatância de Falta (Ω)]] /
(
POWER(
_xlfn.XLOOKUP(Configurações[[#This Row],[Barra de Ocorrência]],Barramentos[Número],Barramentos[Tensão (kV)],"-",0),
2
)
/Potencia_Base
),"")</f>
        <v>0.88888888888888884</v>
      </c>
      <c r="I2" s="29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  <row r="3" spans="1:9" x14ac:dyDescent="0.25">
      <c r="B3" s="26"/>
      <c r="E3" s="27"/>
      <c r="F3" s="27"/>
      <c r="G3" s="28" t="str">
        <f>IFERROR(Configurações[[#This Row],[Resistência de Falta (Ω)]] /
(
POWER(
_xlfn.XLOOKUP(Configurações[[#This Row],[Barra de Ocorrência]],Barramentos[Número],Barramentos[Tensão (kV)],"-",0),
2
)
/Potencia_Base
),"")</f>
        <v/>
      </c>
      <c r="H3" s="28" t="str">
        <f>IFERROR(Configurações[[#This Row],[Reatância de Falta (Ω)]] /
(
POWER(
_xlfn.XLOOKUP(Configurações[[#This Row],[Barra de Ocorrência]],Barramentos[Número],Barramentos[Tensão (kV)],"-",0),
2
)
/Potencia_Base
),"")</f>
        <v/>
      </c>
      <c r="I3" s="30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/>
      </c>
    </row>
    <row r="4" spans="1:9" x14ac:dyDescent="0.25">
      <c r="B4" s="26"/>
      <c r="E4" s="27"/>
      <c r="F4" s="27"/>
      <c r="G4" s="28" t="str">
        <f>IFERROR(Configurações[[#This Row],[Resistência de Falta (Ω)]] /
(
POWER(
_xlfn.XLOOKUP(Configurações[[#This Row],[Barra de Ocorrência]],Barramentos[Número],Barramentos[Tensão (kV)],"-",0),
2
)
/Potencia_Base
),"")</f>
        <v/>
      </c>
      <c r="H4" s="28" t="str">
        <f>IFERROR(Configurações[[#This Row],[Reatância de Falta (Ω)]] /
(
POWER(
_xlfn.XLOOKUP(Configurações[[#This Row],[Barra de Ocorrência]],Barramentos[Número],Barramentos[Tensão (kV)],"-",0),
2
)
/Potencia_Base
),"")</f>
        <v/>
      </c>
      <c r="I4" s="30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/>
      </c>
    </row>
  </sheetData>
  <sheetProtection formatCells="0" formatColumns="0" formatRows="0" insertColumns="0" insertRows="0" insertHyperlinks="0" deleteColumns="0" deleteRows="0" sort="0" autoFilter="0" pivotTables="0"/>
  <protectedRanges>
    <protectedRange sqref="A2:F12" name="Intervalo1"/>
  </protectedRanges>
  <conditionalFormatting sqref="I2:I4">
    <cfRule type="cellIs" dxfId="17" priority="1" operator="equal">
      <formula>"Ok"</formula>
    </cfRule>
    <cfRule type="cellIs" dxfId="16" priority="2" operator="equal">
      <formula>"Verificar!"</formula>
    </cfRule>
  </conditionalFormatting>
  <dataValidations disablePrompts="1" count="5">
    <dataValidation type="list" showInputMessage="1" showErrorMessage="1" sqref="B2:B4" xr:uid="{D7AD2082-6D50-4A04-911E-F1BE7F72159B}">
      <formula1>INDIRECT("Barramentos[Número]")</formula1>
    </dataValidation>
    <dataValidation type="list" showInputMessage="1" showErrorMessage="1" sqref="A2:A3" xr:uid="{354A04D4-4D14-45AD-80EE-372509A058E0}">
      <formula1>"Trifásico,Monofásico,Bifásico-Terra,Bifásico"</formula1>
    </dataValidation>
    <dataValidation type="decimal" operator="greaterThanOrEqual" showInputMessage="1" showErrorMessage="1" sqref="C2:C4" xr:uid="{E966FC70-F503-4F5B-A599-19E24597B9B5}">
      <formula1>0</formula1>
    </dataValidation>
    <dataValidation type="decimal" operator="greaterThanOrEqual" allowBlank="1" showInputMessage="1" showErrorMessage="1" sqref="D2:F4" xr:uid="{F94E1B0E-F402-4420-8A71-FF883B73B049}">
      <formula1>0</formula1>
    </dataValidation>
    <dataValidation type="list" allowBlank="1" showInputMessage="1" showErrorMessage="1" sqref="A4" xr:uid="{48CA49B7-6C2F-4DD2-BA6A-0B42135E5090}">
      <formula1>"Trifásico,Monofásico,Bifásico-Terra,Bifásico"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showGridLines="0" workbookViewId="0">
      <selection activeCell="F6" sqref="F6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9" t="s">
        <v>111</v>
      </c>
    </row>
    <row r="2" spans="1:4" s="1" customFormat="1" x14ac:dyDescent="0.25">
      <c r="A2" s="1" t="s">
        <v>26</v>
      </c>
      <c r="B2" s="7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25</v>
      </c>
      <c r="B3" s="7">
        <v>2</v>
      </c>
      <c r="C3" s="3">
        <v>345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29</v>
      </c>
      <c r="B4" s="7">
        <v>3</v>
      </c>
      <c r="C4" s="3">
        <v>345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30</v>
      </c>
      <c r="B5" s="7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D2:D5">
    <cfRule type="cellIs" dxfId="15" priority="1" operator="equal">
      <formula>"Verificar!"</formula>
    </cfRule>
    <cfRule type="cellIs" dxfId="14" priority="2" operator="equal">
      <formula>"Ok"</formula>
    </cfRule>
  </conditionalFormatting>
  <conditionalFormatting sqref="A2:B5">
    <cfRule type="duplicateValues" dxfId="13" priority="2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tabSelected="1" topLeftCell="I1" zoomScaleNormal="100" workbookViewId="0">
      <selection activeCell="K8" sqref="K8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101</v>
      </c>
      <c r="J1" t="s">
        <v>102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92</v>
      </c>
      <c r="Q1" s="9" t="s">
        <v>10</v>
      </c>
      <c r="R1" s="9" t="s">
        <v>11</v>
      </c>
      <c r="S1" s="9" t="s">
        <v>103</v>
      </c>
      <c r="T1" s="9" t="s">
        <v>104</v>
      </c>
      <c r="U1" s="9" t="s">
        <v>12</v>
      </c>
      <c r="V1" s="9" t="s">
        <v>13</v>
      </c>
      <c r="W1" s="9" t="s">
        <v>19</v>
      </c>
      <c r="X1" s="9" t="s">
        <v>20</v>
      </c>
      <c r="Y1" s="9" t="s">
        <v>111</v>
      </c>
    </row>
    <row r="2" spans="1:25" s="1" customFormat="1" x14ac:dyDescent="0.25">
      <c r="A2" s="1" t="s">
        <v>38</v>
      </c>
      <c r="B2" s="1">
        <v>175</v>
      </c>
      <c r="C2" s="7">
        <v>1</v>
      </c>
      <c r="D2" s="1">
        <v>15</v>
      </c>
      <c r="E2" s="7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93</v>
      </c>
      <c r="P2" s="1">
        <v>-30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39</v>
      </c>
      <c r="B3" s="1">
        <v>175</v>
      </c>
      <c r="C3" s="7">
        <v>3</v>
      </c>
      <c r="D3" s="1">
        <v>345</v>
      </c>
      <c r="E3" s="7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84</v>
      </c>
      <c r="P3" s="1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Y2:Y3">
    <cfRule type="cellIs" dxfId="12" priority="1" operator="equal">
      <formula>"Verificar!"</formula>
    </cfRule>
    <cfRule type="cellIs" dxfId="11" priority="2" operator="equal">
      <formula>"Ok"</formula>
    </cfRule>
  </conditionalFormatting>
  <conditionalFormatting sqref="A2:A3">
    <cfRule type="duplicateValues" dxfId="10" priority="21"/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selection activeCell="O2" sqref="O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9" t="s">
        <v>10</v>
      </c>
      <c r="K1" s="9" t="s">
        <v>11</v>
      </c>
      <c r="L1" s="9" t="s">
        <v>12</v>
      </c>
      <c r="M1" s="9" t="s">
        <v>13</v>
      </c>
      <c r="N1" s="9" t="s">
        <v>111</v>
      </c>
    </row>
    <row r="2" spans="1:14" s="1" customFormat="1" x14ac:dyDescent="0.25">
      <c r="A2" s="1" t="s">
        <v>35</v>
      </c>
      <c r="B2" s="7">
        <v>2</v>
      </c>
      <c r="C2" s="7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0.2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N2">
    <cfRule type="cellIs" dxfId="9" priority="1" operator="equal">
      <formula>"Verificar!"</formula>
    </cfRule>
    <cfRule type="cellIs" dxfId="8" priority="2" operator="equal">
      <formula>"Ok"</formula>
    </cfRule>
  </conditionalFormatting>
  <conditionalFormatting sqref="A2">
    <cfRule type="duplicateValues" dxfId="7" priority="22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workbookViewId="0">
      <selection activeCell="S2" sqref="S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59</v>
      </c>
      <c r="I1" t="s">
        <v>8</v>
      </c>
      <c r="J1" t="s">
        <v>9</v>
      </c>
      <c r="K1" t="s">
        <v>23</v>
      </c>
      <c r="L1" t="s">
        <v>18</v>
      </c>
      <c r="M1" s="9" t="s">
        <v>10</v>
      </c>
      <c r="N1" s="9" t="s">
        <v>11</v>
      </c>
      <c r="O1" s="9" t="s">
        <v>60</v>
      </c>
      <c r="P1" s="9" t="s">
        <v>12</v>
      </c>
      <c r="Q1" s="9" t="s">
        <v>13</v>
      </c>
      <c r="R1" s="9" t="s">
        <v>24</v>
      </c>
      <c r="S1" s="9" t="s">
        <v>111</v>
      </c>
    </row>
    <row r="2" spans="1:19" s="1" customFormat="1" x14ac:dyDescent="0.25">
      <c r="A2" s="1" t="s">
        <v>31</v>
      </c>
      <c r="B2" s="1" t="s">
        <v>32</v>
      </c>
      <c r="C2" s="7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36</v>
      </c>
      <c r="M2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37</v>
      </c>
      <c r="B3" s="1" t="s">
        <v>32</v>
      </c>
      <c r="C3" s="7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36</v>
      </c>
      <c r="M3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A2:A3">
    <cfRule type="duplicateValues" dxfId="6" priority="13"/>
    <cfRule type="duplicateValues" dxfId="5" priority="14"/>
  </conditionalFormatting>
  <conditionalFormatting sqref="S2:S3">
    <cfRule type="cellIs" dxfId="4" priority="1" operator="equal">
      <formula>"Ok"</formula>
    </cfRule>
    <cfRule type="cellIs" dxfId="3" priority="2" operator="equal">
      <formula>"Verificar!"</formula>
    </cfRule>
  </conditionalFormatting>
  <dataValidations disablePrompts="1"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showGridLines="0" workbookViewId="0">
      <selection activeCell="H2" sqref="H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33</v>
      </c>
      <c r="D1" t="s">
        <v>34</v>
      </c>
      <c r="E1" t="s">
        <v>18</v>
      </c>
      <c r="F1" s="9" t="s">
        <v>10</v>
      </c>
      <c r="G1" s="9" t="s">
        <v>12</v>
      </c>
      <c r="H1" s="9" t="s">
        <v>111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2" priority="17"/>
  </conditionalFormatting>
  <conditionalFormatting sqref="H2">
    <cfRule type="cellIs" dxfId="1" priority="1" operator="equal">
      <formula>"Ok"</formula>
    </cfRule>
    <cfRule type="cellIs" dxfId="0" priority="2" operator="equal">
      <formula>"Verificar!"</formula>
    </cfRule>
  </conditionalFormatting>
  <dataValidations disablePrompts="1"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showGridLines="0" showRowColHeaders="0" workbookViewId="0">
      <selection activeCell="E13" sqref="E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15" t="s">
        <v>128</v>
      </c>
      <c r="B1" s="15">
        <v>1</v>
      </c>
      <c r="C1" s="15">
        <v>2</v>
      </c>
      <c r="D1" s="15">
        <v>3</v>
      </c>
      <c r="E1" s="15">
        <v>4</v>
      </c>
    </row>
    <row r="2" spans="1:5" ht="20.100000000000001" customHeight="1" x14ac:dyDescent="0.25">
      <c r="A2" s="15">
        <v>1</v>
      </c>
      <c r="B2" s="16" t="s">
        <v>64</v>
      </c>
      <c r="C2" s="16" t="s">
        <v>65</v>
      </c>
      <c r="D2" s="16" t="s">
        <v>66</v>
      </c>
      <c r="E2" s="16" t="s">
        <v>66</v>
      </c>
    </row>
    <row r="3" spans="1:5" ht="20.100000000000001" customHeight="1" x14ac:dyDescent="0.25">
      <c r="A3" s="15">
        <v>2</v>
      </c>
      <c r="B3" s="16" t="s">
        <v>65</v>
      </c>
      <c r="C3" s="16" t="s">
        <v>67</v>
      </c>
      <c r="D3" s="16" t="s">
        <v>68</v>
      </c>
      <c r="E3" s="16" t="s">
        <v>66</v>
      </c>
    </row>
    <row r="4" spans="1:5" ht="20.100000000000001" customHeight="1" x14ac:dyDescent="0.25">
      <c r="A4" s="15">
        <v>3</v>
      </c>
      <c r="B4" s="16" t="s">
        <v>66</v>
      </c>
      <c r="C4" s="16" t="s">
        <v>68</v>
      </c>
      <c r="D4" s="16" t="s">
        <v>69</v>
      </c>
      <c r="E4" s="16" t="s">
        <v>70</v>
      </c>
    </row>
    <row r="5" spans="1:5" ht="20.100000000000001" customHeight="1" x14ac:dyDescent="0.25">
      <c r="A5" s="15">
        <v>4</v>
      </c>
      <c r="B5" s="16" t="s">
        <v>66</v>
      </c>
      <c r="C5" s="16" t="s">
        <v>66</v>
      </c>
      <c r="D5" s="16" t="s">
        <v>70</v>
      </c>
      <c r="E5" s="16" t="s">
        <v>71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E20" sqref="E20"/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5" t="s">
        <v>128</v>
      </c>
      <c r="B1" s="15">
        <v>1</v>
      </c>
      <c r="C1" s="15">
        <v>2</v>
      </c>
      <c r="D1" s="15">
        <v>3</v>
      </c>
      <c r="E1" s="15">
        <v>4</v>
      </c>
    </row>
    <row r="2" spans="1:5" ht="20.100000000000001" customHeight="1" x14ac:dyDescent="0.25">
      <c r="A2" s="15">
        <v>1</v>
      </c>
      <c r="B2" s="16" t="s">
        <v>72</v>
      </c>
      <c r="C2" s="16" t="s">
        <v>73</v>
      </c>
      <c r="D2" s="16" t="s">
        <v>74</v>
      </c>
      <c r="E2" s="16" t="s">
        <v>75</v>
      </c>
    </row>
    <row r="3" spans="1:5" ht="20.100000000000001" customHeight="1" x14ac:dyDescent="0.25">
      <c r="A3" s="15">
        <v>2</v>
      </c>
      <c r="B3" s="16" t="s">
        <v>73</v>
      </c>
      <c r="C3" s="16" t="s">
        <v>76</v>
      </c>
      <c r="D3" s="16" t="s">
        <v>77</v>
      </c>
      <c r="E3" s="16" t="s">
        <v>78</v>
      </c>
    </row>
    <row r="4" spans="1:5" ht="20.100000000000001" customHeight="1" x14ac:dyDescent="0.25">
      <c r="A4" s="15">
        <v>3</v>
      </c>
      <c r="B4" s="16" t="s">
        <v>74</v>
      </c>
      <c r="C4" s="16" t="s">
        <v>77</v>
      </c>
      <c r="D4" s="16" t="s">
        <v>79</v>
      </c>
      <c r="E4" s="16" t="s">
        <v>80</v>
      </c>
    </row>
    <row r="5" spans="1:5" ht="20.100000000000001" customHeight="1" x14ac:dyDescent="0.25">
      <c r="A5" s="15">
        <v>4</v>
      </c>
      <c r="B5" s="16" t="s">
        <v>75</v>
      </c>
      <c r="C5" s="16" t="s">
        <v>78</v>
      </c>
      <c r="D5" s="16" t="s">
        <v>80</v>
      </c>
      <c r="E5" s="16" t="s">
        <v>81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M17" sqref="M17"/>
    </sheetView>
  </sheetViews>
  <sheetFormatPr defaultRowHeight="15" x14ac:dyDescent="0.25"/>
  <cols>
    <col min="1" max="1" width="11.42578125" style="1" bestFit="1" customWidth="1"/>
    <col min="2" max="2" width="14.5703125" style="1" bestFit="1" customWidth="1"/>
    <col min="3" max="3" width="13.85546875" style="1" bestFit="1" customWidth="1"/>
    <col min="4" max="5" width="14.85546875" style="1" bestFit="1" customWidth="1"/>
    <col min="6" max="16384" width="9.140625" style="1"/>
  </cols>
  <sheetData>
    <row r="1" spans="1:5" ht="20.100000000000001" customHeight="1" x14ac:dyDescent="0.25">
      <c r="A1" s="15" t="s">
        <v>128</v>
      </c>
      <c r="B1" s="15">
        <v>1</v>
      </c>
      <c r="C1" s="15">
        <v>2</v>
      </c>
      <c r="D1" s="15">
        <v>3</v>
      </c>
      <c r="E1" s="15">
        <v>4</v>
      </c>
    </row>
    <row r="2" spans="1:5" ht="20.100000000000001" customHeight="1" x14ac:dyDescent="0.25">
      <c r="A2" s="15">
        <v>1</v>
      </c>
      <c r="B2" s="16" t="s">
        <v>67</v>
      </c>
      <c r="C2" s="16" t="s">
        <v>66</v>
      </c>
      <c r="D2" s="16" t="s">
        <v>66</v>
      </c>
      <c r="E2" s="16" t="s">
        <v>66</v>
      </c>
    </row>
    <row r="3" spans="1:5" ht="20.100000000000001" customHeight="1" x14ac:dyDescent="0.25">
      <c r="A3" s="15">
        <v>2</v>
      </c>
      <c r="B3" s="16" t="s">
        <v>66</v>
      </c>
      <c r="C3" s="16" t="s">
        <v>94</v>
      </c>
      <c r="D3" s="16" t="s">
        <v>82</v>
      </c>
      <c r="E3" s="16" t="s">
        <v>66</v>
      </c>
    </row>
    <row r="4" spans="1:5" ht="20.100000000000001" customHeight="1" x14ac:dyDescent="0.25">
      <c r="A4" s="15">
        <v>3</v>
      </c>
      <c r="B4" s="16" t="s">
        <v>66</v>
      </c>
      <c r="C4" s="16" t="s">
        <v>82</v>
      </c>
      <c r="D4" s="16" t="s">
        <v>85</v>
      </c>
      <c r="E4" s="16" t="s">
        <v>70</v>
      </c>
    </row>
    <row r="5" spans="1:5" ht="20.100000000000001" customHeight="1" x14ac:dyDescent="0.25">
      <c r="A5" s="15">
        <v>4</v>
      </c>
      <c r="B5" s="16" t="s">
        <v>66</v>
      </c>
      <c r="C5" s="16" t="s">
        <v>66</v>
      </c>
      <c r="D5" s="16" t="s">
        <v>70</v>
      </c>
      <c r="E5" s="16" t="s">
        <v>83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showGridLines="0" showRowColHeaders="0" workbookViewId="0">
      <selection activeCell="M3" sqref="M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5" t="s">
        <v>128</v>
      </c>
      <c r="B1" s="15">
        <v>1</v>
      </c>
      <c r="C1" s="15">
        <v>2</v>
      </c>
      <c r="D1" s="15">
        <v>3</v>
      </c>
      <c r="E1" s="15">
        <v>4</v>
      </c>
    </row>
    <row r="2" spans="1:5" ht="20.100000000000001" customHeight="1" x14ac:dyDescent="0.25">
      <c r="A2" s="15">
        <v>1</v>
      </c>
      <c r="B2" s="16" t="s">
        <v>95</v>
      </c>
      <c r="C2" s="16" t="s">
        <v>66</v>
      </c>
      <c r="D2" s="16" t="s">
        <v>66</v>
      </c>
      <c r="E2" s="16" t="s">
        <v>66</v>
      </c>
    </row>
    <row r="3" spans="1:5" ht="20.100000000000001" customHeight="1" x14ac:dyDescent="0.25">
      <c r="A3" s="15">
        <v>2</v>
      </c>
      <c r="B3" s="16" t="s">
        <v>66</v>
      </c>
      <c r="C3" s="16" t="s">
        <v>96</v>
      </c>
      <c r="D3" s="16" t="s">
        <v>97</v>
      </c>
      <c r="E3" s="16" t="s">
        <v>98</v>
      </c>
    </row>
    <row r="4" spans="1:5" ht="20.100000000000001" customHeight="1" x14ac:dyDescent="0.25">
      <c r="A4" s="15">
        <v>3</v>
      </c>
      <c r="B4" s="16" t="s">
        <v>66</v>
      </c>
      <c r="C4" s="16" t="s">
        <v>97</v>
      </c>
      <c r="D4" s="16" t="s">
        <v>97</v>
      </c>
      <c r="E4" s="16" t="s">
        <v>98</v>
      </c>
    </row>
    <row r="5" spans="1:5" ht="20.100000000000001" customHeight="1" x14ac:dyDescent="0.25">
      <c r="A5" s="15">
        <v>4</v>
      </c>
      <c r="B5" s="16" t="s">
        <v>66</v>
      </c>
      <c r="C5" s="16" t="s">
        <v>98</v>
      </c>
      <c r="D5" s="16" t="s">
        <v>98</v>
      </c>
      <c r="E5" s="16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57"/>
  <sheetViews>
    <sheetView showGridLines="0" showRowColHeaders="0" workbookViewId="0">
      <pane ySplit="4" topLeftCell="A5" activePane="bottomLeft" state="frozen"/>
      <selection pane="bottomLeft" activeCell="I9" sqref="I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6"/>
    <col min="3" max="16384" width="29.42578125" style="1"/>
  </cols>
  <sheetData>
    <row r="2" spans="2:8" ht="35.25" thickBot="1" x14ac:dyDescent="0.6">
      <c r="B2" s="19" t="s">
        <v>139</v>
      </c>
      <c r="C2" s="19"/>
      <c r="D2" s="19"/>
      <c r="E2" s="19"/>
      <c r="F2" s="19"/>
      <c r="G2" s="19"/>
      <c r="H2" s="19"/>
    </row>
    <row r="3" spans="2:8" ht="15.75" thickTop="1" x14ac:dyDescent="0.25"/>
    <row r="4" spans="2:8" ht="15.75" x14ac:dyDescent="0.25">
      <c r="B4" s="10" t="s">
        <v>245</v>
      </c>
    </row>
    <row r="5" spans="2:8" ht="24" x14ac:dyDescent="0.4">
      <c r="B5" s="20" t="s">
        <v>246</v>
      </c>
      <c r="C5" s="18"/>
      <c r="D5" s="18"/>
      <c r="E5" s="18"/>
      <c r="F5" s="18"/>
      <c r="G5" s="18"/>
      <c r="H5" s="18"/>
    </row>
    <row r="6" spans="2:8" ht="15.75" x14ac:dyDescent="0.25">
      <c r="B6" s="17" t="s">
        <v>141</v>
      </c>
      <c r="C6" s="18"/>
      <c r="D6" s="18"/>
      <c r="E6" s="18"/>
      <c r="F6" s="18"/>
      <c r="G6" s="18"/>
      <c r="H6" s="18"/>
    </row>
    <row r="7" spans="2:8" ht="15.75" x14ac:dyDescent="0.25">
      <c r="B7" s="11" t="s">
        <v>114</v>
      </c>
      <c r="C7" s="11" t="s">
        <v>115</v>
      </c>
      <c r="D7" s="11" t="s">
        <v>116</v>
      </c>
      <c r="E7" s="11" t="s">
        <v>117</v>
      </c>
      <c r="F7" s="11" t="s">
        <v>118</v>
      </c>
      <c r="G7" s="11" t="s">
        <v>119</v>
      </c>
      <c r="H7" s="11" t="s">
        <v>120</v>
      </c>
    </row>
    <row r="8" spans="2:8" x14ac:dyDescent="0.25">
      <c r="B8" s="6" t="s">
        <v>207</v>
      </c>
      <c r="C8" s="1" t="s">
        <v>207</v>
      </c>
      <c r="D8" s="1" t="s">
        <v>121</v>
      </c>
      <c r="E8" s="1" t="s">
        <v>121</v>
      </c>
      <c r="F8" s="1" t="s">
        <v>208</v>
      </c>
      <c r="G8" s="1" t="s">
        <v>208</v>
      </c>
      <c r="H8" s="1" t="s">
        <v>208</v>
      </c>
    </row>
    <row r="9" spans="2:8" ht="15.75" x14ac:dyDescent="0.25">
      <c r="B9" s="17" t="s">
        <v>142</v>
      </c>
      <c r="C9" s="18"/>
      <c r="D9" s="18"/>
      <c r="E9" s="18"/>
      <c r="F9" s="18"/>
      <c r="G9" s="18"/>
      <c r="H9" s="18"/>
    </row>
    <row r="10" spans="2:8" ht="15.75" x14ac:dyDescent="0.25">
      <c r="B10" s="12" t="s">
        <v>122</v>
      </c>
      <c r="C10" s="12" t="s">
        <v>115</v>
      </c>
      <c r="D10" s="12" t="s">
        <v>116</v>
      </c>
      <c r="E10" s="12" t="s">
        <v>117</v>
      </c>
      <c r="F10" s="12" t="s">
        <v>118</v>
      </c>
      <c r="G10" s="12" t="s">
        <v>120</v>
      </c>
      <c r="H10" s="12" t="s">
        <v>119</v>
      </c>
    </row>
    <row r="11" spans="2:8" x14ac:dyDescent="0.25">
      <c r="B11" s="6">
        <v>1</v>
      </c>
      <c r="C11" s="1" t="s">
        <v>209</v>
      </c>
      <c r="D11" s="1" t="s">
        <v>143</v>
      </c>
      <c r="E11" s="1" t="s">
        <v>210</v>
      </c>
      <c r="F11" s="1" t="s">
        <v>121</v>
      </c>
      <c r="G11" s="1" t="s">
        <v>211</v>
      </c>
      <c r="H11" s="1" t="s">
        <v>212</v>
      </c>
    </row>
    <row r="12" spans="2:8" x14ac:dyDescent="0.25">
      <c r="B12" s="6">
        <v>2</v>
      </c>
      <c r="C12" s="1" t="s">
        <v>213</v>
      </c>
      <c r="D12" s="1" t="s">
        <v>214</v>
      </c>
      <c r="E12" s="1" t="s">
        <v>215</v>
      </c>
      <c r="F12" s="1" t="s">
        <v>216</v>
      </c>
      <c r="G12" s="1" t="s">
        <v>217</v>
      </c>
      <c r="H12" s="1" t="s">
        <v>218</v>
      </c>
    </row>
    <row r="13" spans="2:8" x14ac:dyDescent="0.25">
      <c r="B13" s="6">
        <v>3</v>
      </c>
      <c r="C13" s="1" t="s">
        <v>219</v>
      </c>
      <c r="D13" s="1" t="s">
        <v>220</v>
      </c>
      <c r="E13" s="1" t="s">
        <v>221</v>
      </c>
      <c r="F13" s="1" t="s">
        <v>216</v>
      </c>
      <c r="G13" s="1" t="s">
        <v>222</v>
      </c>
      <c r="H13" s="1" t="s">
        <v>223</v>
      </c>
    </row>
    <row r="14" spans="2:8" x14ac:dyDescent="0.25">
      <c r="B14" s="6">
        <v>4</v>
      </c>
      <c r="C14" s="1" t="s">
        <v>224</v>
      </c>
      <c r="D14" s="1" t="s">
        <v>225</v>
      </c>
      <c r="E14" s="1" t="s">
        <v>226</v>
      </c>
      <c r="F14" s="1" t="s">
        <v>227</v>
      </c>
      <c r="G14" s="1" t="s">
        <v>228</v>
      </c>
      <c r="H14" s="1" t="s">
        <v>229</v>
      </c>
    </row>
    <row r="15" spans="2:8" ht="15.75" x14ac:dyDescent="0.25">
      <c r="B15" s="17" t="s">
        <v>144</v>
      </c>
      <c r="C15" s="18"/>
      <c r="D15" s="18"/>
      <c r="E15" s="18"/>
      <c r="F15" s="18"/>
      <c r="G15" s="18"/>
      <c r="H15" s="18"/>
    </row>
    <row r="16" spans="2:8" ht="15.75" x14ac:dyDescent="0.25">
      <c r="B16" s="13" t="s">
        <v>123</v>
      </c>
      <c r="C16" s="13" t="s">
        <v>115</v>
      </c>
      <c r="D16" s="13" t="s">
        <v>116</v>
      </c>
      <c r="E16" s="13" t="s">
        <v>117</v>
      </c>
      <c r="F16" s="13" t="s">
        <v>118</v>
      </c>
      <c r="G16" s="13" t="s">
        <v>120</v>
      </c>
      <c r="H16" s="13" t="s">
        <v>119</v>
      </c>
    </row>
    <row r="17" spans="2:8" x14ac:dyDescent="0.25">
      <c r="B17" s="6" t="s">
        <v>35</v>
      </c>
      <c r="C17" s="1" t="s">
        <v>230</v>
      </c>
      <c r="D17" s="1" t="s">
        <v>231</v>
      </c>
      <c r="E17" s="1" t="s">
        <v>231</v>
      </c>
      <c r="F17" s="1" t="s">
        <v>121</v>
      </c>
      <c r="G17" s="1" t="s">
        <v>232</v>
      </c>
      <c r="H17" s="1" t="s">
        <v>232</v>
      </c>
    </row>
    <row r="18" spans="2:8" x14ac:dyDescent="0.25">
      <c r="B18" s="6" t="s">
        <v>31</v>
      </c>
      <c r="C18" s="1" t="s">
        <v>233</v>
      </c>
      <c r="D18" s="1" t="s">
        <v>121</v>
      </c>
      <c r="E18" s="1" t="s">
        <v>234</v>
      </c>
      <c r="F18" s="1" t="s">
        <v>121</v>
      </c>
      <c r="G18" s="1" t="s">
        <v>235</v>
      </c>
      <c r="H18" s="1" t="s">
        <v>236</v>
      </c>
    </row>
    <row r="19" spans="2:8" x14ac:dyDescent="0.25">
      <c r="B19" s="6" t="s">
        <v>37</v>
      </c>
      <c r="C19" s="1" t="s">
        <v>237</v>
      </c>
      <c r="D19" s="1" t="s">
        <v>238</v>
      </c>
      <c r="E19" s="1" t="s">
        <v>238</v>
      </c>
      <c r="F19" s="1" t="s">
        <v>208</v>
      </c>
      <c r="G19" s="1" t="s">
        <v>239</v>
      </c>
      <c r="H19" s="1" t="s">
        <v>239</v>
      </c>
    </row>
    <row r="20" spans="2:8" x14ac:dyDescent="0.25">
      <c r="B20" s="6" t="s">
        <v>124</v>
      </c>
      <c r="C20" s="1" t="s">
        <v>233</v>
      </c>
      <c r="D20" s="1" t="s">
        <v>121</v>
      </c>
      <c r="E20" s="1" t="s">
        <v>234</v>
      </c>
      <c r="F20" s="1" t="s">
        <v>121</v>
      </c>
      <c r="G20" s="1" t="s">
        <v>235</v>
      </c>
      <c r="H20" s="1" t="s">
        <v>236</v>
      </c>
    </row>
    <row r="21" spans="2:8" x14ac:dyDescent="0.25">
      <c r="B21" s="6" t="s">
        <v>125</v>
      </c>
      <c r="C21" s="1" t="s">
        <v>230</v>
      </c>
      <c r="D21" s="1" t="s">
        <v>231</v>
      </c>
      <c r="E21" s="1" t="s">
        <v>231</v>
      </c>
      <c r="F21" s="1" t="s">
        <v>121</v>
      </c>
      <c r="G21" s="1" t="s">
        <v>232</v>
      </c>
      <c r="H21" s="1" t="s">
        <v>232</v>
      </c>
    </row>
    <row r="22" spans="2:8" x14ac:dyDescent="0.25">
      <c r="B22" s="6" t="s">
        <v>126</v>
      </c>
      <c r="C22" s="1" t="s">
        <v>230</v>
      </c>
      <c r="D22" s="1" t="s">
        <v>231</v>
      </c>
      <c r="E22" s="1" t="s">
        <v>231</v>
      </c>
      <c r="F22" s="1" t="s">
        <v>121</v>
      </c>
      <c r="G22" s="1" t="s">
        <v>232</v>
      </c>
      <c r="H22" s="1" t="s">
        <v>232</v>
      </c>
    </row>
    <row r="23" spans="2:8" x14ac:dyDescent="0.25">
      <c r="B23" s="6" t="s">
        <v>127</v>
      </c>
      <c r="C23" s="1" t="s">
        <v>240</v>
      </c>
      <c r="D23" s="1" t="s">
        <v>241</v>
      </c>
      <c r="E23" s="1" t="s">
        <v>241</v>
      </c>
      <c r="F23" s="1" t="s">
        <v>121</v>
      </c>
      <c r="G23" s="1" t="s">
        <v>238</v>
      </c>
      <c r="H23" s="1" t="s">
        <v>238</v>
      </c>
    </row>
    <row r="24" spans="2:8" ht="15.75" x14ac:dyDescent="0.25">
      <c r="B24" s="17" t="s">
        <v>145</v>
      </c>
      <c r="C24" s="18"/>
      <c r="D24" s="18"/>
      <c r="E24" s="18"/>
      <c r="F24" s="18"/>
      <c r="G24" s="18"/>
      <c r="H24" s="18"/>
    </row>
    <row r="25" spans="2:8" ht="15.75" x14ac:dyDescent="0.25">
      <c r="B25" s="14" t="s">
        <v>122</v>
      </c>
      <c r="C25" s="14" t="s">
        <v>115</v>
      </c>
      <c r="D25" s="14" t="s">
        <v>116</v>
      </c>
      <c r="E25" s="14" t="s">
        <v>117</v>
      </c>
      <c r="F25" s="14" t="s">
        <v>118</v>
      </c>
      <c r="G25" s="14" t="s">
        <v>120</v>
      </c>
      <c r="H25" s="14" t="s">
        <v>119</v>
      </c>
    </row>
    <row r="26" spans="2:8" x14ac:dyDescent="0.25">
      <c r="B26" s="6">
        <v>1</v>
      </c>
      <c r="C26" s="1" t="s">
        <v>146</v>
      </c>
      <c r="D26" s="1" t="s">
        <v>147</v>
      </c>
      <c r="E26" s="1" t="s">
        <v>148</v>
      </c>
      <c r="F26" s="1" t="s">
        <v>121</v>
      </c>
      <c r="G26" s="1" t="s">
        <v>146</v>
      </c>
      <c r="H26" s="1" t="s">
        <v>121</v>
      </c>
    </row>
    <row r="27" spans="2:8" x14ac:dyDescent="0.25">
      <c r="B27" s="6">
        <v>2</v>
      </c>
      <c r="C27" s="1" t="s">
        <v>121</v>
      </c>
      <c r="D27" s="1" t="s">
        <v>121</v>
      </c>
      <c r="E27" s="1" t="s">
        <v>121</v>
      </c>
      <c r="F27" s="1" t="s">
        <v>121</v>
      </c>
      <c r="G27" s="1" t="s">
        <v>121</v>
      </c>
      <c r="H27" s="1" t="s">
        <v>121</v>
      </c>
    </row>
    <row r="28" spans="2:8" x14ac:dyDescent="0.25">
      <c r="B28" s="6">
        <v>3</v>
      </c>
      <c r="C28" s="1" t="s">
        <v>121</v>
      </c>
      <c r="D28" s="1" t="s">
        <v>121</v>
      </c>
      <c r="E28" s="1" t="s">
        <v>121</v>
      </c>
      <c r="F28" s="1" t="s">
        <v>121</v>
      </c>
      <c r="G28" s="1" t="s">
        <v>121</v>
      </c>
      <c r="H28" s="1" t="s">
        <v>121</v>
      </c>
    </row>
    <row r="29" spans="2:8" x14ac:dyDescent="0.25">
      <c r="B29" s="6">
        <v>4</v>
      </c>
      <c r="C29" s="1" t="s">
        <v>242</v>
      </c>
      <c r="D29" s="1" t="s">
        <v>149</v>
      </c>
      <c r="E29" s="1" t="s">
        <v>150</v>
      </c>
      <c r="F29" s="1" t="s">
        <v>243</v>
      </c>
      <c r="G29" s="1" t="s">
        <v>244</v>
      </c>
      <c r="H29" s="1" t="s">
        <v>243</v>
      </c>
    </row>
    <row r="33" spans="2:8" ht="24" x14ac:dyDescent="0.4">
      <c r="B33" s="20" t="s">
        <v>206</v>
      </c>
      <c r="C33" s="18"/>
      <c r="D33" s="18"/>
      <c r="E33" s="18"/>
      <c r="F33" s="18"/>
      <c r="G33" s="18"/>
      <c r="H33" s="18"/>
    </row>
    <row r="34" spans="2:8" ht="15.75" x14ac:dyDescent="0.25">
      <c r="B34" s="17" t="s">
        <v>141</v>
      </c>
      <c r="C34" s="18"/>
      <c r="D34" s="18"/>
      <c r="E34" s="18"/>
      <c r="F34" s="18"/>
      <c r="G34" s="18"/>
      <c r="H34" s="18"/>
    </row>
    <row r="35" spans="2:8" ht="15.75" x14ac:dyDescent="0.25">
      <c r="B35" s="11" t="s">
        <v>114</v>
      </c>
      <c r="C35" s="11" t="s">
        <v>115</v>
      </c>
      <c r="D35" s="11" t="s">
        <v>116</v>
      </c>
      <c r="E35" s="11" t="s">
        <v>117</v>
      </c>
      <c r="F35" s="11" t="s">
        <v>118</v>
      </c>
      <c r="G35" s="11" t="s">
        <v>119</v>
      </c>
      <c r="H35" s="11" t="s">
        <v>120</v>
      </c>
    </row>
    <row r="36" spans="2:8" x14ac:dyDescent="0.25">
      <c r="B36" s="6" t="s">
        <v>151</v>
      </c>
      <c r="C36" s="1" t="s">
        <v>121</v>
      </c>
      <c r="D36" s="1" t="s">
        <v>152</v>
      </c>
      <c r="E36" s="1" t="s">
        <v>153</v>
      </c>
      <c r="F36" s="1" t="s">
        <v>154</v>
      </c>
      <c r="G36" s="1" t="s">
        <v>155</v>
      </c>
      <c r="H36" s="1" t="s">
        <v>156</v>
      </c>
    </row>
    <row r="37" spans="2:8" ht="15.75" x14ac:dyDescent="0.25">
      <c r="B37" s="17" t="s">
        <v>142</v>
      </c>
      <c r="C37" s="18"/>
      <c r="D37" s="18"/>
      <c r="E37" s="18"/>
      <c r="F37" s="18"/>
      <c r="G37" s="18"/>
      <c r="H37" s="18"/>
    </row>
    <row r="38" spans="2:8" ht="15.75" x14ac:dyDescent="0.25">
      <c r="B38" s="12" t="s">
        <v>122</v>
      </c>
      <c r="C38" s="12" t="s">
        <v>115</v>
      </c>
      <c r="D38" s="12" t="s">
        <v>116</v>
      </c>
      <c r="E38" s="12" t="s">
        <v>117</v>
      </c>
      <c r="F38" s="12" t="s">
        <v>118</v>
      </c>
      <c r="G38" s="12" t="s">
        <v>120</v>
      </c>
      <c r="H38" s="12" t="s">
        <v>119</v>
      </c>
    </row>
    <row r="39" spans="2:8" x14ac:dyDescent="0.25">
      <c r="B39" s="6">
        <v>1</v>
      </c>
      <c r="C39" s="1" t="s">
        <v>157</v>
      </c>
      <c r="D39" s="1" t="s">
        <v>121</v>
      </c>
      <c r="E39" s="1" t="s">
        <v>121</v>
      </c>
      <c r="F39" s="1" t="s">
        <v>158</v>
      </c>
      <c r="G39" s="1" t="s">
        <v>158</v>
      </c>
      <c r="H39" s="1" t="s">
        <v>158</v>
      </c>
    </row>
    <row r="40" spans="2:8" x14ac:dyDescent="0.25">
      <c r="B40" s="6">
        <v>2</v>
      </c>
      <c r="C40" s="1" t="s">
        <v>159</v>
      </c>
      <c r="D40" s="1" t="s">
        <v>160</v>
      </c>
      <c r="E40" s="1" t="s">
        <v>161</v>
      </c>
      <c r="F40" s="1" t="s">
        <v>121</v>
      </c>
      <c r="G40" s="1" t="s">
        <v>162</v>
      </c>
      <c r="H40" s="1" t="s">
        <v>163</v>
      </c>
    </row>
    <row r="41" spans="2:8" x14ac:dyDescent="0.25">
      <c r="B41" s="6">
        <v>3</v>
      </c>
      <c r="C41" s="1" t="s">
        <v>164</v>
      </c>
      <c r="D41" s="1" t="s">
        <v>165</v>
      </c>
      <c r="E41" s="1" t="s">
        <v>166</v>
      </c>
      <c r="F41" s="1" t="s">
        <v>121</v>
      </c>
      <c r="G41" s="1" t="s">
        <v>167</v>
      </c>
      <c r="H41" s="1" t="s">
        <v>168</v>
      </c>
    </row>
    <row r="42" spans="2:8" x14ac:dyDescent="0.25">
      <c r="B42" s="6">
        <v>4</v>
      </c>
      <c r="C42" s="1" t="s">
        <v>169</v>
      </c>
      <c r="D42" s="1" t="s">
        <v>170</v>
      </c>
      <c r="E42" s="1" t="s">
        <v>171</v>
      </c>
      <c r="F42" s="1" t="s">
        <v>121</v>
      </c>
      <c r="G42" s="1" t="s">
        <v>172</v>
      </c>
      <c r="H42" s="1" t="s">
        <v>173</v>
      </c>
    </row>
    <row r="43" spans="2:8" ht="15.75" x14ac:dyDescent="0.25">
      <c r="B43" s="17" t="s">
        <v>144</v>
      </c>
      <c r="C43" s="18"/>
      <c r="D43" s="18"/>
      <c r="E43" s="18"/>
      <c r="F43" s="18"/>
      <c r="G43" s="18"/>
      <c r="H43" s="18"/>
    </row>
    <row r="44" spans="2:8" ht="15.75" x14ac:dyDescent="0.25">
      <c r="B44" s="13" t="s">
        <v>123</v>
      </c>
      <c r="C44" s="13" t="s">
        <v>115</v>
      </c>
      <c r="D44" s="13" t="s">
        <v>116</v>
      </c>
      <c r="E44" s="13" t="s">
        <v>117</v>
      </c>
      <c r="F44" s="13" t="s">
        <v>118</v>
      </c>
      <c r="G44" s="13" t="s">
        <v>120</v>
      </c>
      <c r="H44" s="13" t="s">
        <v>119</v>
      </c>
    </row>
    <row r="45" spans="2:8" x14ac:dyDescent="0.25">
      <c r="B45" s="6" t="s">
        <v>35</v>
      </c>
      <c r="C45" s="1" t="s">
        <v>174</v>
      </c>
      <c r="D45" s="1" t="s">
        <v>175</v>
      </c>
      <c r="E45" s="1" t="s">
        <v>176</v>
      </c>
      <c r="F45" s="1" t="s">
        <v>121</v>
      </c>
      <c r="G45" s="1" t="s">
        <v>177</v>
      </c>
      <c r="H45" s="1" t="s">
        <v>178</v>
      </c>
    </row>
    <row r="46" spans="2:8" x14ac:dyDescent="0.25">
      <c r="B46" s="6" t="s">
        <v>31</v>
      </c>
      <c r="C46" s="1" t="s">
        <v>179</v>
      </c>
      <c r="D46" s="1" t="s">
        <v>180</v>
      </c>
      <c r="E46" s="1" t="s">
        <v>181</v>
      </c>
      <c r="F46" s="1" t="s">
        <v>182</v>
      </c>
      <c r="G46" s="1" t="s">
        <v>183</v>
      </c>
      <c r="H46" s="1" t="s">
        <v>184</v>
      </c>
    </row>
    <row r="47" spans="2:8" x14ac:dyDescent="0.25">
      <c r="B47" s="6" t="s">
        <v>37</v>
      </c>
      <c r="C47" s="1" t="s">
        <v>185</v>
      </c>
      <c r="D47" s="1" t="s">
        <v>186</v>
      </c>
      <c r="E47" s="1" t="s">
        <v>187</v>
      </c>
      <c r="F47" s="1" t="s">
        <v>121</v>
      </c>
      <c r="G47" s="1" t="s">
        <v>188</v>
      </c>
      <c r="H47" s="1" t="s">
        <v>189</v>
      </c>
    </row>
    <row r="48" spans="2:8" x14ac:dyDescent="0.25">
      <c r="B48" s="6" t="s">
        <v>124</v>
      </c>
      <c r="C48" s="1" t="s">
        <v>190</v>
      </c>
      <c r="D48" s="1" t="s">
        <v>191</v>
      </c>
      <c r="E48" s="1" t="s">
        <v>192</v>
      </c>
      <c r="F48" s="1" t="s">
        <v>121</v>
      </c>
      <c r="G48" s="1" t="s">
        <v>193</v>
      </c>
      <c r="H48" s="1" t="s">
        <v>194</v>
      </c>
    </row>
    <row r="49" spans="2:8" x14ac:dyDescent="0.25">
      <c r="B49" s="6" t="s">
        <v>125</v>
      </c>
      <c r="C49" s="1" t="s">
        <v>174</v>
      </c>
      <c r="D49" s="1" t="s">
        <v>175</v>
      </c>
      <c r="E49" s="1" t="s">
        <v>176</v>
      </c>
      <c r="F49" s="1" t="s">
        <v>121</v>
      </c>
      <c r="G49" s="1" t="s">
        <v>177</v>
      </c>
      <c r="H49" s="1" t="s">
        <v>178</v>
      </c>
    </row>
    <row r="50" spans="2:8" x14ac:dyDescent="0.25">
      <c r="B50" s="6" t="s">
        <v>126</v>
      </c>
      <c r="C50" s="1" t="s">
        <v>174</v>
      </c>
      <c r="D50" s="1" t="s">
        <v>175</v>
      </c>
      <c r="E50" s="1" t="s">
        <v>176</v>
      </c>
      <c r="F50" s="1" t="s">
        <v>121</v>
      </c>
      <c r="G50" s="1" t="s">
        <v>177</v>
      </c>
      <c r="H50" s="1" t="s">
        <v>178</v>
      </c>
    </row>
    <row r="51" spans="2:8" x14ac:dyDescent="0.25">
      <c r="B51" s="6" t="s">
        <v>127</v>
      </c>
      <c r="C51" s="1" t="s">
        <v>195</v>
      </c>
      <c r="D51" s="1" t="s">
        <v>196</v>
      </c>
      <c r="E51" s="1" t="s">
        <v>197</v>
      </c>
      <c r="F51" s="1" t="s">
        <v>121</v>
      </c>
      <c r="G51" s="1" t="s">
        <v>198</v>
      </c>
      <c r="H51" s="1" t="s">
        <v>199</v>
      </c>
    </row>
    <row r="52" spans="2:8" ht="15.75" x14ac:dyDescent="0.25">
      <c r="B52" s="17" t="s">
        <v>145</v>
      </c>
      <c r="C52" s="18"/>
      <c r="D52" s="18"/>
      <c r="E52" s="18"/>
      <c r="F52" s="18"/>
      <c r="G52" s="18"/>
      <c r="H52" s="18"/>
    </row>
    <row r="53" spans="2:8" ht="15.75" x14ac:dyDescent="0.25">
      <c r="B53" s="14" t="s">
        <v>122</v>
      </c>
      <c r="C53" s="14" t="s">
        <v>115</v>
      </c>
      <c r="D53" s="14" t="s">
        <v>116</v>
      </c>
      <c r="E53" s="14" t="s">
        <v>117</v>
      </c>
      <c r="F53" s="14" t="s">
        <v>118</v>
      </c>
      <c r="G53" s="14" t="s">
        <v>120</v>
      </c>
      <c r="H53" s="14" t="s">
        <v>119</v>
      </c>
    </row>
    <row r="54" spans="2:8" x14ac:dyDescent="0.25">
      <c r="B54" s="6">
        <v>1</v>
      </c>
      <c r="C54" s="1" t="s">
        <v>146</v>
      </c>
      <c r="D54" s="1" t="s">
        <v>200</v>
      </c>
      <c r="E54" s="1" t="s">
        <v>201</v>
      </c>
      <c r="F54" s="1" t="s">
        <v>202</v>
      </c>
      <c r="G54" s="1" t="s">
        <v>203</v>
      </c>
      <c r="H54" s="1" t="s">
        <v>204</v>
      </c>
    </row>
    <row r="55" spans="2:8" x14ac:dyDescent="0.25">
      <c r="B55" s="6">
        <v>2</v>
      </c>
      <c r="C55" s="1" t="s">
        <v>121</v>
      </c>
      <c r="D55" s="1" t="s">
        <v>121</v>
      </c>
      <c r="E55" s="1" t="s">
        <v>121</v>
      </c>
      <c r="F55" s="1" t="s">
        <v>121</v>
      </c>
      <c r="G55" s="1" t="s">
        <v>121</v>
      </c>
      <c r="H55" s="1" t="s">
        <v>121</v>
      </c>
    </row>
    <row r="56" spans="2:8" x14ac:dyDescent="0.25">
      <c r="B56" s="6">
        <v>3</v>
      </c>
      <c r="C56" s="1" t="s">
        <v>121</v>
      </c>
      <c r="D56" s="1" t="s">
        <v>121</v>
      </c>
      <c r="E56" s="1" t="s">
        <v>121</v>
      </c>
      <c r="F56" s="1" t="s">
        <v>121</v>
      </c>
      <c r="G56" s="1" t="s">
        <v>121</v>
      </c>
      <c r="H56" s="1" t="s">
        <v>121</v>
      </c>
    </row>
    <row r="57" spans="2:8" x14ac:dyDescent="0.25">
      <c r="B57" s="6">
        <v>4</v>
      </c>
      <c r="C57" s="1" t="s">
        <v>205</v>
      </c>
      <c r="D57" s="1" t="s">
        <v>149</v>
      </c>
      <c r="E57" s="1" t="s">
        <v>150</v>
      </c>
      <c r="F57" s="1" t="s">
        <v>121</v>
      </c>
      <c r="G57" s="1" t="s">
        <v>205</v>
      </c>
      <c r="H57" s="1" t="s">
        <v>121</v>
      </c>
    </row>
  </sheetData>
  <mergeCells count="11">
    <mergeCell ref="B33:H33"/>
    <mergeCell ref="B34:H34"/>
    <mergeCell ref="B37:H37"/>
    <mergeCell ref="B43:H43"/>
    <mergeCell ref="B52:H52"/>
    <mergeCell ref="B24:H24"/>
    <mergeCell ref="B2:H2"/>
    <mergeCell ref="B5:H5"/>
    <mergeCell ref="B6:H6"/>
    <mergeCell ref="B9:H9"/>
    <mergeCell ref="B15:H15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2026-04-08T13:19:50Z</dcterms:modified>
</cp:coreProperties>
</file>
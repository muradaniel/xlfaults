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template\"/>
    </mc:Choice>
  </mc:AlternateContent>
  <xr:revisionPtr revIDLastSave="0" documentId="8_{D3F0868F-1620-48FB-86CC-394EE3915C90}" xr6:coauthVersionLast="47" xr6:coauthVersionMax="47" xr10:uidLastSave="{00000000-0000-0000-0000-000000000000}"/>
  <bookViews>
    <workbookView xWindow="-120" yWindow="-120" windowWidth="29040" windowHeight="15720" tabRatio="0" firstSheet="2" activeTab="2" xr2:uid="{2D99AEA3-E3D3-48D2-BF79-9D8C0154BEA9}"/>
  </bookViews>
  <sheets>
    <sheet name="Oculto" sheetId="14" state="veryHidden" r:id="rId1"/>
    <sheet name="Configurações" sheetId="13" r:id="rId2"/>
    <sheet name="Barramentos" sheetId="3" r:id="rId3"/>
    <sheet name="Transformadores" sheetId="4" r:id="rId4"/>
    <sheet name="Linhas de Transmissão" sheetId="5" r:id="rId5"/>
    <sheet name="Máquinas" sheetId="6" r:id="rId6"/>
    <sheet name="Carga" sheetId="7" r:id="rId7"/>
    <sheet name="Y Barra (+) (-)" sheetId="1" r:id="rId8"/>
    <sheet name="Z Barra (+) (-)" sheetId="9" r:id="rId9"/>
    <sheet name="Y Barra (0)" sheetId="10" r:id="rId10"/>
    <sheet name="Z Barra (0)" sheetId="11" r:id="rId11"/>
    <sheet name="Relatório" sheetId="12" r:id="rId12"/>
  </sheets>
  <definedNames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" l="1"/>
  <c r="L2" i="5"/>
  <c r="K2" i="5"/>
  <c r="J2" i="5"/>
  <c r="M2" i="6"/>
  <c r="R2" i="6"/>
  <c r="Q2" i="6"/>
  <c r="P2" i="6"/>
  <c r="O2" i="6"/>
  <c r="N2" i="6"/>
  <c r="H2" i="13"/>
  <c r="G2" i="13"/>
  <c r="D2" i="3"/>
  <c r="G2" i="7"/>
  <c r="F2" i="7"/>
  <c r="T2" i="4"/>
  <c r="S2" i="4"/>
  <c r="R2" i="4"/>
  <c r="Q2" i="4"/>
  <c r="H2" i="7" l="1"/>
  <c r="I2" i="13"/>
  <c r="X2" i="4"/>
  <c r="W2" i="4"/>
  <c r="V2" i="4"/>
  <c r="U2" i="4"/>
  <c r="Y2" i="4" l="1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tc={2F63ECFB-8593-4880-A2E7-EC5DA401CC84}</author>
  </authors>
  <commentList>
    <comment ref="B1" authorId="0" shapeId="0" xr:uid="{2F63ECFB-8593-4880-A2E7-EC5DA401CC8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Preenchimento obrigatório para o diagrama.</t>
      </text>
    </comment>
  </commentList>
</comments>
</file>

<file path=xl/sharedStrings.xml><?xml version="1.0" encoding="utf-8"?>
<sst xmlns="http://schemas.openxmlformats.org/spreadsheetml/2006/main" count="81" uniqueCount="45">
  <si>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</si>
  <si>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</si>
  <si>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</si>
  <si>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</si>
  <si>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</si>
  <si>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</si>
  <si>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</si>
  <si>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</si>
  <si>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</si>
  <si>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</si>
  <si>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</si>
  <si>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</si>
  <si>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</si>
  <si>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</si>
  <si>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</si>
  <si>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</si>
  <si>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</si>
  <si>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</si>
  <si>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</si>
  <si>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</si>
  <si>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</si>
  <si>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</si>
  <si>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</si>
  <si>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</si>
  <si>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</si>
  <si>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Tipo de Curto Circuito</t>
  </si>
  <si>
    <t>Barra de Ocorrência</t>
  </si>
  <si>
    <t>Potência Ativa (MW)</t>
  </si>
  <si>
    <t>Potência Reativa (MVAr)</t>
  </si>
  <si>
    <t>RN (%)</t>
  </si>
  <si>
    <t>RN (pu) Base</t>
  </si>
  <si>
    <t>Resistência de Falta (Ω)</t>
  </si>
  <si>
    <t>Reatância de Falta (Ω)</t>
  </si>
  <si>
    <t>Reatância de Falta (pu)</t>
  </si>
  <si>
    <t>Resistência de Falta (pu)</t>
  </si>
  <si>
    <t>Defasagem (°)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</si>
  <si>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</si>
  <si>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</si>
  <si>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</si>
  <si>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</si>
  <si>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</si>
  <si>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</si>
  <si>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Status</t>
  </si>
  <si>
    <t>Real</t>
  </si>
  <si>
    <t>Xlfaults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</si>
</sst>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1" fillId="0" borderId="0" xfId="0" applyFont="1"/>
    <xf numFmtId="0" fontId="3" fillId="0" borderId="0" xfId="0" applyFont="1"/>
    <xf numFmtId="0" fontId="9" fillId="0" borderId="0" xfId="0" applyFont="1"/>
  </cellXfs>
  <cellStyles count="1">
    <cellStyle name="Normal" xfId="0" builtinId="0"/>
  </cellStyles>
  <dxfs count="10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2" insertRowShift="1" totalsRowShown="0" headerRowDxfId="98" dataDxfId="97">
  <autoFilter ref="A1:I2" xr:uid="{193FD222-520A-4DD8-BE18-987EE612A9D0}"/>
  <tableColumns count="9">
    <tableColumn id="3" xr3:uid="{CA127CF5-E49A-4A9B-B187-4761AA1A79D7}" name="Tipo de Curto Circuito" dataDxfId="96"/>
    <tableColumn id="4" xr3:uid="{88F28AA7-C36A-4434-AD6B-50BE92E74F4D}" name="Barra de Ocorrência" dataDxfId="95"/>
    <tableColumn id="1" xr3:uid="{F4241A51-9F4A-4C52-8A84-2A790858DBF2}" name="Resistência de Falta (Ω)" dataDxfId="94"/>
    <tableColumn id="5" xr3:uid="{27F9348A-202C-4C0A-A004-3C442352EC0A}" name="Reatância de Falta (Ω)" dataDxfId="93"/>
    <tableColumn id="7" xr3:uid="{4EDE8271-7299-42E4-8C91-5F8E909EDF0D}" name="Módulo Tensão Pré-Falta (pu)" dataDxfId="92"/>
    <tableColumn id="8" xr3:uid="{F28A6798-519F-471F-90C9-C4B09058FAAC}" name="Ângulo Tensão Pré-Falta (graus)" dataDxfId="91"/>
    <tableColumn id="6" xr3:uid="{1BF22A3B-7D9D-4AC4-95DB-628DCE968BE5}" name="Resistência de Falta (pu)" dataDxfId="90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89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88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2" totalsRowShown="0" dataDxfId="103">
  <autoFilter ref="A1:D2" xr:uid="{185A231E-D573-421A-8DE0-86DC8EC5B091}"/>
  <tableColumns count="4">
    <tableColumn id="1" xr3:uid="{8EBD12C1-4E78-43A6-AE95-30F1337B03D1}" name="Nome" dataDxfId="102"/>
    <tableColumn id="2" xr3:uid="{CFD29857-E1CA-4766-A849-933A0A451513}" name="Número" dataDxfId="101"/>
    <tableColumn id="3" xr3:uid="{B100B757-52E1-499F-9BC6-78F92CB8E714}" name="Tensão (kV)" dataDxfId="100"/>
    <tableColumn id="4" xr3:uid="{45DAEBD0-AEA5-404D-83FA-86673FA4DA4E}" name="Status" dataDxfId="99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2" totalsRowShown="0" dataDxfId="87">
  <autoFilter ref="A1:Y2" xr:uid="{A4AC50ED-6DE4-4C38-93EE-BDF3497EA246}"/>
  <tableColumns count="25">
    <tableColumn id="1" xr3:uid="{39101201-31D4-4805-BA09-578CF4254661}" name="Nome" dataDxfId="86"/>
    <tableColumn id="2" xr3:uid="{82F12B74-9B8E-4129-9D60-29194591E977}" name="Potência Nominal (MVA)" dataDxfId="85"/>
    <tableColumn id="3" xr3:uid="{3676778F-0DD3-4FF1-ABF3-91F631C97AB9}" name="Barra de" dataDxfId="84"/>
    <tableColumn id="4" xr3:uid="{85CA93BC-10AF-4454-9E5C-AB0AA858497E}" name="Tensão Primário (kV)" dataDxfId="83"/>
    <tableColumn id="5" xr3:uid="{F6BF0648-8461-4D3C-BAF8-B44FF50EBC42}" name="Barra para" dataDxfId="82"/>
    <tableColumn id="6" xr3:uid="{788BEFB8-3595-4644-A922-A3C31BA8827C}" name="Tensão Secundário (kV)" dataDxfId="81"/>
    <tableColumn id="17" xr3:uid="{643462F2-B827-4D92-BB8D-B63F2A8B46DE}" name="R1 (%)" dataDxfId="80"/>
    <tableColumn id="18" xr3:uid="{978EA81F-1DF1-4135-9DED-967EDBEF3113}" name="R0 (%)" dataDxfId="79"/>
    <tableColumn id="19" xr3:uid="{7114C9F7-2A77-4742-998E-9665ED40D853}" name="RN P (%)" dataDxfId="78"/>
    <tableColumn id="20" xr3:uid="{E2838565-8CDC-4D7D-9D23-62F5CCD93DBC}" name="RN S (%)" dataDxfId="77"/>
    <tableColumn id="7" xr3:uid="{B0A73F71-8999-46E8-8E3D-7A74ED6AD1DE}" name="X1 (%)" dataDxfId="76"/>
    <tableColumn id="8" xr3:uid="{683A169E-13B2-47A8-905B-31A9A7946BFF}" name="X0 (%)" dataDxfId="75"/>
    <tableColumn id="9" xr3:uid="{0CED62B1-AB9E-472F-B905-855FCDDA5621}" name="XN P (%)" dataDxfId="74"/>
    <tableColumn id="10" xr3:uid="{5A25097B-1431-4425-93D5-7DA14A630D4D}" name="XN S (%)" dataDxfId="73"/>
    <tableColumn id="11" xr3:uid="{17BC764E-AC0C-41D2-A895-E25CF32BD66D}" name="Tipo de Conexão" dataDxfId="72"/>
    <tableColumn id="16" xr3:uid="{C26B22AC-395A-4831-B51C-EDF601536FBA}" name="Defasagem (°)" dataDxfId="71"/>
    <tableColumn id="21" xr3:uid="{E121F7A3-274E-4A17-BA4E-674BD1AB4224}" name="R1 (pu) Base" dataDxfId="70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9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8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67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66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65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64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63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62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61">
  <autoFilter ref="A1:N2" xr:uid="{4C6B18B1-E121-4D7E-AA00-B30E64F151BF}"/>
  <tableColumns count="14">
    <tableColumn id="1" xr3:uid="{30120507-59B7-4E39-9736-DD004A4CF5CB}" name="Nome" dataDxfId="60"/>
    <tableColumn id="2" xr3:uid="{AB8230B4-9A4A-44EF-BB87-C4CACBD18C5F}" name="Barra de" dataDxfId="59"/>
    <tableColumn id="3" xr3:uid="{B4EB3D4B-781C-4650-BEEA-30E6D7A81A35}" name="Barra para" dataDxfId="58"/>
    <tableColumn id="4" xr3:uid="{330EF97A-C5A9-4C11-9A8E-CE8C64A31B98}" name="Tensão (kV)" dataDxfId="57"/>
    <tableColumn id="5" xr3:uid="{E8D819A1-6394-472E-9E16-3B2EA093E29D}" name="Potência Nominal (MVA)" dataDxfId="56"/>
    <tableColumn id="6" xr3:uid="{F11529B5-BE00-42BC-890E-64E0E6AFF6F1}" name="R1 (%)" dataDxfId="55"/>
    <tableColumn id="7" xr3:uid="{CFED6F8E-5D17-4662-ACC5-C3E2ABE880FB}" name="R0 (%)" dataDxfId="54"/>
    <tableColumn id="8" xr3:uid="{7430D406-FE3E-4B08-BB6D-3A8D932E918D}" name="X1 (%)" dataDxfId="53"/>
    <tableColumn id="9" xr3:uid="{94284ABF-4FFF-4BE1-B200-614B09A8B34C}" name="X0 (%)" dataDxfId="52"/>
    <tableColumn id="10" xr3:uid="{C5D7E913-E161-4147-8CA6-551A69411E75}" name="R1 (pu) Base" dataDxfId="51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50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49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48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47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2" totalsRowShown="0" dataDxfId="46">
  <autoFilter ref="A1:S2" xr:uid="{B599559C-32F1-4236-AECA-7D9877860AA5}"/>
  <tableColumns count="19">
    <tableColumn id="1" xr3:uid="{37D2B7CF-5760-4FE5-B9E3-B0DCD2A26D81}" name="Nome" dataDxfId="45"/>
    <tableColumn id="2" xr3:uid="{DDB0FCF3-D10E-454C-83FE-382C8D19A917}" name="Tipo de Máquina" dataDxfId="44"/>
    <tableColumn id="3" xr3:uid="{41B724F9-FA51-4405-81DF-58B3AE9B4DBC}" name="Barra Conectada" dataDxfId="43"/>
    <tableColumn id="4" xr3:uid="{6B3CE436-99E4-492E-85DA-15FB0B060EDA}" name="Potência Nominal (MVA)" dataDxfId="42"/>
    <tableColumn id="5" xr3:uid="{E5D2863F-65FE-4C5B-A9EB-346763EA179D}" name="Tensão (kV)" dataDxfId="41"/>
    <tableColumn id="6" xr3:uid="{68B25089-7F4B-4E85-8AAE-DE5FA47E5B93}" name="R1 (%)" dataDxfId="40"/>
    <tableColumn id="7" xr3:uid="{D4859BAA-B7F8-4C05-B645-D585A105F903}" name="R0 (%)" dataDxfId="39"/>
    <tableColumn id="17" xr3:uid="{409E9AB5-8B08-48E6-A7A0-793C14053FCE}" name="RN (%)" dataDxfId="38"/>
    <tableColumn id="8" xr3:uid="{BBBE4417-080E-4E8B-BC6C-05E4524DE3F5}" name="X1 (%)" dataDxfId="37"/>
    <tableColumn id="9" xr3:uid="{05140983-8FCC-4839-B46F-8E7004364620}" name="X0 (%)" dataDxfId="36"/>
    <tableColumn id="10" xr3:uid="{BF9AB535-205A-4F79-84D5-5550453715EF}" name="XN (%)" dataDxfId="35"/>
    <tableColumn id="11" xr3:uid="{3102012A-28C3-429F-ABCF-987A3E858B48}" name="Tipo de Conexão" dataDxfId="34"/>
    <tableColumn id="12" xr3:uid="{E1B4EC4F-7076-41FF-BCB0-E7F6CF0E98EF}" name="R1 (pu) Base" dataDxfId="33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32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31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30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29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28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27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26">
  <autoFilter ref="A1:H2" xr:uid="{A5F92FF0-A218-472D-B9E3-FC6DA3123327}"/>
  <tableColumns count="8">
    <tableColumn id="1" xr3:uid="{910FA3BB-C4BB-4AC3-AF9E-D80012ED1C16}" name="Nome" dataDxfId="25"/>
    <tableColumn id="2" xr3:uid="{F4DC6F70-034F-4E4F-BC64-1BAA423C9AB6}" name="Barra Conectada" dataDxfId="24"/>
    <tableColumn id="4" xr3:uid="{4208AB9B-5640-49E2-9518-C539EBBA5291}" name="Potência Ativa (MW)" dataDxfId="23"/>
    <tableColumn id="5" xr3:uid="{471FEBBB-894E-44C5-8AF7-578155197899}" name="Potência Reativa (MVAr)" dataDxfId="22"/>
    <tableColumn id="6" xr3:uid="{3161E565-B978-4834-B215-F8B8B19F1373}" name="Tipo de Conexão" dataDxfId="21"/>
    <tableColumn id="7" xr3:uid="{0BD04F28-6FD5-49ED-863C-5834525FEF1B}" name="R1 (pu) Base" dataDxfId="20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9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18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" dT="2026-04-10T20:44:07.41" personId="{427EDA70-F2A6-43BD-9A42-79A0A53CE1F7}" id="{2F63ECFB-8593-4880-A2E7-EC5DA401CC84}">
    <text>Preenchimento obrigatório para o diagrama.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J16" sqref="J16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44</v>
      </c>
    </row>
    <row r="3" spans="1:1" x14ac:dyDescent="0.25">
      <c r="A3" t="s">
        <v>43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showGridLines="0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8" customWidth="1"/>
    <col min="2" max="2" width="27" style="8" customWidth="1"/>
    <col min="3" max="3" width="29" style="8" customWidth="1"/>
    <col min="4" max="4" width="27.140625" style="8" customWidth="1"/>
    <col min="5" max="5" width="34.140625" style="8" customWidth="1"/>
    <col min="6" max="6" width="36" style="8" customWidth="1"/>
    <col min="7" max="7" width="29.7109375" style="8" customWidth="1"/>
    <col min="8" max="8" width="30.7109375" style="10" customWidth="1"/>
    <col min="9" max="9" width="23.28515625" style="10" bestFit="1" customWidth="1"/>
    <col min="10" max="16384" width="9.140625" style="10"/>
  </cols>
  <sheetData>
    <row r="1" spans="1:9" x14ac:dyDescent="0.25">
      <c r="A1" s="8" t="s">
        <v>25</v>
      </c>
      <c r="B1" s="8" t="s">
        <v>26</v>
      </c>
      <c r="C1" s="8" t="s">
        <v>31</v>
      </c>
      <c r="D1" s="8" t="s">
        <v>32</v>
      </c>
      <c r="E1" s="8" t="s">
        <v>40</v>
      </c>
      <c r="F1" s="8" t="s">
        <v>41</v>
      </c>
      <c r="G1" s="9" t="s">
        <v>34</v>
      </c>
      <c r="H1" s="9" t="s">
        <v>33</v>
      </c>
      <c r="I1" s="9" t="s">
        <v>42</v>
      </c>
    </row>
    <row r="2" spans="1:9" x14ac:dyDescent="0.25">
      <c r="B2" s="11"/>
      <c r="E2" s="12"/>
      <c r="F2" s="12"/>
      <c r="G2" s="13" t="str">
        <f>IFERROR(Configurações[[#This Row],[Resistência de Falta (Ω)]] /
(
POWER(
_xlfn.XLOOKUP(Configurações[[#This Row],[Barra de Ocorrência]],Barramentos[Número],Barramentos[Tensão (kV)],"-",0),
2
)
/Potencia_Base
),"")</f>
        <v/>
      </c>
      <c r="H2" s="13" t="str">
        <f>IFERROR(Configurações[[#This Row],[Reatância de Falta (Ω)]] /
(
POWER(
_xlfn.XLOOKUP(Configurações[[#This Row],[Barra de Ocorrência]],Barramentos[Número],Barramentos[Tensão (kV)],"-",0),
2
)
/Potencia_Base
),"")</f>
        <v/>
      </c>
      <c r="I2" s="14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/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9" name="Intervalo1"/>
  </protectedRanges>
  <conditionalFormatting sqref="I2">
    <cfRule type="cellIs" dxfId="17" priority="1" operator="equal">
      <formula>"Ok"</formula>
    </cfRule>
    <cfRule type="cellIs" dxfId="16" priority="2" operator="equal">
      <formula>"Verificar!"</formula>
    </cfRule>
  </conditionalFormatting>
  <dataValidations count="4">
    <dataValidation type="list" allowBlank="1" showInputMessage="1" showErrorMessage="1" sqref="B2" xr:uid="{D7AD2082-6D50-4A04-911E-F1BE7F72159B}">
      <formula1>INDIRECT("Barramentos[Número]")</formula1>
    </dataValidation>
    <dataValidation type="list" allowBlank="1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:F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2"/>
  <sheetViews>
    <sheetView showGridLines="0" tabSelected="1" workbookViewId="0"/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7" t="s">
        <v>42</v>
      </c>
    </row>
    <row r="2" spans="1:4" s="1" customFormat="1" x14ac:dyDescent="0.25">
      <c r="B2" s="6"/>
      <c r="C2" s="3"/>
      <c r="D2" s="1" t="str">
        <f>IF(COUNTBLANK(Barramentos[[#This Row],[Nome]:[Tensão (kV)]])=COLUMNS(Barramentos[[#This Row],[Nome]:[Tensão (kV)]]),"",IF(COUNTBLANK(Barramentos[[#This Row],[Nome]:[Tensão (kV)]])&gt;0,"Verificar!","Ok"))</f>
        <v/>
      </c>
    </row>
  </sheetData>
  <conditionalFormatting sqref="A2:B2">
    <cfRule type="duplicateValues" dxfId="15" priority="25"/>
  </conditionalFormatting>
  <conditionalFormatting sqref="D2">
    <cfRule type="cellIs" dxfId="14" priority="1" operator="equal">
      <formula>"Verificar!"</formula>
    </cfRule>
    <cfRule type="cellIs" dxfId="13" priority="2" operator="equal">
      <formula>"Ok"</formula>
    </cfRule>
  </conditionalFormatting>
  <dataValidations count="2">
    <dataValidation type="whole" allowBlank="1" showInputMessage="1" showErrorMessage="1" sqref="B2" xr:uid="{730E81BB-091B-45D4-B9EC-9AF643D5CC82}">
      <formula1>1</formula1>
      <formula2>99999</formula2>
    </dataValidation>
    <dataValidation type="decimal" operator="greaterThan" allowBlank="1" showInputMessage="1" showErrorMessage="1" sqref="C2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2"/>
  <sheetViews>
    <sheetView showGridLines="0" zoomScaleNormal="100" workbookViewId="0"/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36</v>
      </c>
      <c r="J1" t="s">
        <v>37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35</v>
      </c>
      <c r="Q1" s="7" t="s">
        <v>10</v>
      </c>
      <c r="R1" s="7" t="s">
        <v>11</v>
      </c>
      <c r="S1" s="7" t="s">
        <v>38</v>
      </c>
      <c r="T1" s="7" t="s">
        <v>39</v>
      </c>
      <c r="U1" s="7" t="s">
        <v>12</v>
      </c>
      <c r="V1" s="7" t="s">
        <v>13</v>
      </c>
      <c r="W1" s="7" t="s">
        <v>19</v>
      </c>
      <c r="X1" s="7" t="s">
        <v>20</v>
      </c>
      <c r="Y1" s="7" t="s">
        <v>42</v>
      </c>
    </row>
    <row r="2" spans="1:25" s="1" customFormat="1" x14ac:dyDescent="0.25">
      <c r="C2" s="6"/>
      <c r="E2" s="6"/>
      <c r="G2" s="4"/>
      <c r="H2" s="4"/>
      <c r="I2" s="4"/>
      <c r="J2" s="4"/>
      <c r="P2" s="3"/>
      <c r="Q2" s="2" t="str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R2" s="2" t="str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S2" s="2" t="str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T2" s="2" t="str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U2" s="2" t="str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V2" s="2" t="str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W2" s="2" t="str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X2" s="2" t="str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/>
      </c>
    </row>
  </sheetData>
  <sheetProtection formatCells="0"/>
  <conditionalFormatting sqref="A2">
    <cfRule type="duplicateValues" dxfId="12" priority="26"/>
  </conditionalFormatting>
  <conditionalFormatting sqref="Y2">
    <cfRule type="cellIs" dxfId="11" priority="1" operator="equal">
      <formula>"Verificar!"</formula>
    </cfRule>
    <cfRule type="cellIs" dxfId="10" priority="2" operator="equal">
      <formula>"Ok"</formula>
    </cfRule>
  </conditionalFormatting>
  <dataValidations count="5">
    <dataValidation type="decimal" operator="greaterThan" allowBlank="1" showInputMessage="1" showErrorMessage="1" sqref="B2" xr:uid="{976DD05E-2529-4502-A9E1-AF66F92D2FFA}">
      <formula1>0</formula1>
    </dataValidation>
    <dataValidation type="list" allowBlank="1" showInputMessage="1" showErrorMessage="1" sqref="E2 C2" xr:uid="{88FF6D65-EAFC-452E-9282-2C2CA1772819}">
      <formula1>INDIRECT("Barramentos[Número]")</formula1>
    </dataValidation>
    <dataValidation type="decimal" operator="greaterThanOrEqual" allowBlank="1" showInputMessage="1" showErrorMessage="1" sqref="D2 F2:N2" xr:uid="{A4B660CB-078C-4003-9D0E-7C3B167AC11D}">
      <formula1>0</formula1>
    </dataValidation>
    <dataValidation type="list" allowBlank="1" showInputMessage="1" showErrorMessage="1" sqref="O2" xr:uid="{F80BEEB6-9C5B-461C-A2CE-1083D85F28FD}">
      <formula1>"Y-Y,Yt-Y,Y-Yt,Yt-Yt,Y-D,D-Y,Yt-D,D-Yt,D-D"</formula1>
    </dataValidation>
    <dataValidation type="decimal" allowBlank="1" showInputMessage="1" showErrorMessage="1" sqref="P2:T2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7" t="s">
        <v>10</v>
      </c>
      <c r="K1" s="7" t="s">
        <v>11</v>
      </c>
      <c r="L1" s="7" t="s">
        <v>12</v>
      </c>
      <c r="M1" s="7" t="s">
        <v>13</v>
      </c>
      <c r="N1" s="7" t="s">
        <v>42</v>
      </c>
    </row>
    <row r="2" spans="1:14" s="1" customFormat="1" x14ac:dyDescent="0.25">
      <c r="B2" s="6"/>
      <c r="C2" s="6"/>
      <c r="D2" s="3"/>
      <c r="F2" s="4"/>
      <c r="G2" s="4"/>
      <c r="H2" s="4"/>
      <c r="I2" s="4"/>
      <c r="J2" s="2" t="str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K2" s="2" t="str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L2" s="2" t="str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M2" s="2" t="str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N2" s="2" t="str">
        <f>IF(COUNTBLANK(Linhas[[#This Row],[Nome]:[X0 (pu) Base]])=COLUMNS(Linhas[[#This Row],[Nome]:[X0 (pu) Base]]),"",IF(COUNTBLANK(Linhas[[#This Row],[Nome]:[X0 (pu) Base]])&gt;0,"Verificar!","Ok"))</f>
        <v/>
      </c>
    </row>
  </sheetData>
  <conditionalFormatting sqref="A2">
    <cfRule type="duplicateValues" dxfId="9" priority="22"/>
  </conditionalFormatting>
  <conditionalFormatting sqref="N2">
    <cfRule type="cellIs" dxfId="8" priority="1" operator="equal">
      <formula>"Verificar!"</formula>
    </cfRule>
    <cfRule type="cellIs" dxfId="7" priority="2" operator="equal">
      <formula>"Ok"</formula>
    </cfRule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2" width="19" customWidth="1"/>
    <col min="3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29</v>
      </c>
      <c r="I1" t="s">
        <v>8</v>
      </c>
      <c r="J1" t="s">
        <v>9</v>
      </c>
      <c r="K1" t="s">
        <v>23</v>
      </c>
      <c r="L1" t="s">
        <v>18</v>
      </c>
      <c r="M1" s="7" t="s">
        <v>10</v>
      </c>
      <c r="N1" s="7" t="s">
        <v>11</v>
      </c>
      <c r="O1" s="7" t="s">
        <v>30</v>
      </c>
      <c r="P1" s="7" t="s">
        <v>12</v>
      </c>
      <c r="Q1" s="7" t="s">
        <v>13</v>
      </c>
      <c r="R1" s="7" t="s">
        <v>24</v>
      </c>
      <c r="S1" s="7" t="s">
        <v>42</v>
      </c>
    </row>
    <row r="2" spans="1:19" s="1" customFormat="1" x14ac:dyDescent="0.25">
      <c r="C2" s="6"/>
      <c r="F2" s="4"/>
      <c r="G2" s="4"/>
      <c r="H2" s="4"/>
      <c r="I2" s="4"/>
      <c r="J2" s="4"/>
      <c r="K2" s="4"/>
      <c r="M2" s="2" t="str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N2" s="2" t="str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O2" s="2" t="str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P2" s="2" t="str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Q2" s="2" t="str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R2" s="2" t="str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S2" s="2" t="str">
        <f>IF(COUNTBLANK(Máquinas[[#This Row],[Nome]:[XN (pu) Base]])=COLUMNS(Máquinas[[#This Row],[Nome]:[XN (pu) Base]]),"",IF(COUNTBLANK(Máquinas[[#This Row],[Nome]:[XN (pu) Base]])&gt;0,"Verificar!","Ok"))</f>
        <v/>
      </c>
    </row>
  </sheetData>
  <conditionalFormatting sqref="A2">
    <cfRule type="duplicateValues" dxfId="6" priority="27"/>
    <cfRule type="duplicateValues" dxfId="5" priority="28"/>
  </conditionalFormatting>
  <conditionalFormatting sqref="S2">
    <cfRule type="cellIs" dxfId="4" priority="1" operator="equal">
      <formula>"Ok"</formula>
    </cfRule>
    <cfRule type="cellIs" dxfId="3" priority="2" operator="equal">
      <formula>"Verificar!"</formula>
    </cfRule>
  </conditionalFormatting>
  <dataValidations count="4">
    <dataValidation type="list" allowBlank="1" showInputMessage="1" showErrorMessage="1" sqref="B2" xr:uid="{030B28AD-E1E3-4915-9BC7-7CE9F6F445BD}">
      <formula1>"Gerador,Motor"</formula1>
    </dataValidation>
    <dataValidation type="list" allowBlank="1" showInputMessage="1" showErrorMessage="1" sqref="C2" xr:uid="{29273589-9991-498E-8AC0-9E2F7F0F3DC1}">
      <formula1>INDIRECT("Barramentos[Número]")</formula1>
    </dataValidation>
    <dataValidation type="decimal" operator="greaterThanOrEqual" allowBlank="1" showInputMessage="1" showErrorMessage="1" sqref="D2:K2" xr:uid="{9EA542E0-AC27-4B3C-BC8C-5F99958B7631}">
      <formula1>0</formula1>
    </dataValidation>
    <dataValidation type="list" allowBlank="1" showInputMessage="1" showErrorMessage="1" sqref="L2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selection activeCell="F2" sqref="F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27</v>
      </c>
      <c r="D1" t="s">
        <v>28</v>
      </c>
      <c r="E1" t="s">
        <v>18</v>
      </c>
      <c r="F1" s="7" t="s">
        <v>10</v>
      </c>
      <c r="G1" s="7" t="s">
        <v>12</v>
      </c>
      <c r="H1" s="7" t="s">
        <v>42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2" priority="17"/>
  </conditionalFormatting>
  <conditionalFormatting sqref="H2">
    <cfRule type="cellIs" dxfId="1" priority="1" operator="equal">
      <formula>"Ok"</formula>
    </cfRule>
    <cfRule type="cellIs" dxfId="0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5"/>
      <c r="B1" s="15"/>
      <c r="C1" s="15"/>
      <c r="D1" s="15"/>
      <c r="E1" s="15"/>
    </row>
    <row r="2" spans="1:5" ht="20.100000000000001" customHeight="1" x14ac:dyDescent="0.25">
      <c r="A2" s="15"/>
    </row>
    <row r="3" spans="1:5" ht="20.100000000000001" customHeight="1" x14ac:dyDescent="0.25">
      <c r="A3" s="15"/>
    </row>
    <row r="4" spans="1:5" ht="20.100000000000001" customHeight="1" x14ac:dyDescent="0.25">
      <c r="A4" s="15"/>
    </row>
    <row r="5" spans="1:5" ht="20.100000000000001" customHeight="1" x14ac:dyDescent="0.25">
      <c r="A5" s="1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/>
      <c r="B1" s="15"/>
      <c r="C1" s="15"/>
      <c r="D1" s="15"/>
      <c r="E1" s="15"/>
    </row>
    <row r="2" spans="1:5" ht="20.100000000000001" customHeight="1" x14ac:dyDescent="0.25">
      <c r="A2" s="15"/>
    </row>
    <row r="3" spans="1:5" ht="20.100000000000001" customHeight="1" x14ac:dyDescent="0.25">
      <c r="A3" s="15"/>
    </row>
    <row r="4" spans="1:5" ht="20.100000000000001" customHeight="1" x14ac:dyDescent="0.25">
      <c r="A4" s="15"/>
    </row>
    <row r="5" spans="1:5" ht="20.100000000000001" customHeight="1" x14ac:dyDescent="0.25">
      <c r="A5" s="15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4.85546875" style="1" bestFit="1" customWidth="1"/>
    <col min="6" max="16384" width="9.140625" style="1"/>
  </cols>
  <sheetData>
    <row r="1" spans="1:5" ht="20.100000000000001" customHeight="1" x14ac:dyDescent="0.25">
      <c r="A1" s="15"/>
      <c r="B1" s="15"/>
      <c r="C1" s="15"/>
      <c r="D1" s="15"/>
      <c r="E1" s="15"/>
    </row>
    <row r="2" spans="1:5" ht="20.100000000000001" customHeight="1" x14ac:dyDescent="0.25">
      <c r="A2" s="15"/>
    </row>
    <row r="3" spans="1:5" ht="20.100000000000001" customHeight="1" x14ac:dyDescent="0.25">
      <c r="A3" s="15"/>
    </row>
    <row r="4" spans="1:5" ht="20.100000000000001" customHeight="1" x14ac:dyDescent="0.25">
      <c r="A4" s="15"/>
    </row>
    <row r="5" spans="1:5" ht="20.100000000000001" customHeight="1" x14ac:dyDescent="0.25">
      <c r="A5" s="15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/>
      <c r="B1" s="15"/>
      <c r="C1" s="15"/>
      <c r="D1" s="15"/>
      <c r="E1" s="15"/>
    </row>
    <row r="2" spans="1:5" ht="20.100000000000001" customHeight="1" x14ac:dyDescent="0.25">
      <c r="A2" s="15"/>
    </row>
    <row r="3" spans="1:5" ht="20.100000000000001" customHeight="1" x14ac:dyDescent="0.25">
      <c r="A3" s="15"/>
    </row>
    <row r="4" spans="1:5" ht="20.100000000000001" customHeight="1" x14ac:dyDescent="0.25">
      <c r="A4" s="15"/>
    </row>
    <row r="5" spans="1:5" ht="20.100000000000001" customHeight="1" x14ac:dyDescent="0.25">
      <c r="A5" s="15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3"/>
  <sheetViews>
    <sheetView showGridLines="0" showRowColHeaders="0" workbookViewId="0">
      <pane ySplit="4" topLeftCell="A5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15"/>
    <col min="3" max="16384" width="29.42578125" style="1"/>
  </cols>
  <sheetData>
    <row r="2" spans="2:8" ht="34.5" x14ac:dyDescent="0.55000000000000004">
      <c r="B2" s="23"/>
      <c r="C2" s="23"/>
      <c r="D2" s="23"/>
      <c r="E2" s="23"/>
      <c r="F2" s="23"/>
      <c r="G2" s="23"/>
      <c r="H2" s="23"/>
    </row>
    <row r="4" spans="2:8" ht="15.75" x14ac:dyDescent="0.25">
      <c r="B4" s="16"/>
    </row>
    <row r="5" spans="2:8" ht="24" x14ac:dyDescent="0.4">
      <c r="B5" s="24"/>
      <c r="C5" s="22"/>
      <c r="D5" s="22"/>
      <c r="E5" s="22"/>
      <c r="F5" s="22"/>
      <c r="G5" s="22"/>
      <c r="H5" s="22"/>
    </row>
    <row r="6" spans="2:8" ht="15.75" x14ac:dyDescent="0.25">
      <c r="B6" s="21"/>
      <c r="C6" s="22"/>
      <c r="D6" s="22"/>
      <c r="E6" s="22"/>
      <c r="F6" s="22"/>
      <c r="G6" s="22"/>
      <c r="H6" s="22"/>
    </row>
    <row r="7" spans="2:8" ht="15.75" x14ac:dyDescent="0.25">
      <c r="B7" s="17"/>
      <c r="C7" s="17"/>
      <c r="D7" s="17"/>
      <c r="E7" s="17"/>
      <c r="F7" s="17"/>
      <c r="G7" s="17"/>
      <c r="H7" s="17"/>
    </row>
    <row r="9" spans="2:8" ht="15.75" x14ac:dyDescent="0.25">
      <c r="B9" s="21"/>
      <c r="C9" s="22"/>
      <c r="D9" s="22"/>
      <c r="E9" s="22"/>
      <c r="F9" s="22"/>
      <c r="G9" s="22"/>
      <c r="H9" s="22"/>
    </row>
    <row r="10" spans="2:8" ht="15.75" x14ac:dyDescent="0.25">
      <c r="B10" s="18"/>
      <c r="C10" s="18"/>
      <c r="D10" s="18"/>
      <c r="E10" s="18"/>
      <c r="F10" s="18"/>
      <c r="G10" s="18"/>
      <c r="H10" s="18"/>
    </row>
    <row r="15" spans="2:8" ht="15.75" x14ac:dyDescent="0.25">
      <c r="B15" s="21"/>
      <c r="C15" s="22"/>
      <c r="D15" s="22"/>
      <c r="E15" s="22"/>
      <c r="F15" s="22"/>
      <c r="G15" s="22"/>
      <c r="H15" s="22"/>
    </row>
    <row r="16" spans="2:8" ht="15.75" x14ac:dyDescent="0.25">
      <c r="B16" s="19"/>
      <c r="C16" s="19"/>
      <c r="D16" s="19"/>
      <c r="E16" s="19"/>
      <c r="F16" s="19"/>
      <c r="G16" s="19"/>
      <c r="H16" s="19"/>
    </row>
    <row r="24" spans="2:8" ht="15.75" x14ac:dyDescent="0.25">
      <c r="B24" s="21"/>
      <c r="C24" s="22"/>
      <c r="D24" s="22"/>
      <c r="E24" s="22"/>
      <c r="F24" s="22"/>
      <c r="G24" s="22"/>
      <c r="H24" s="22"/>
    </row>
    <row r="25" spans="2:8" ht="15.75" x14ac:dyDescent="0.25">
      <c r="B25" s="20"/>
      <c r="C25" s="20"/>
      <c r="D25" s="20"/>
      <c r="E25" s="20"/>
      <c r="F25" s="20"/>
      <c r="G25" s="20"/>
      <c r="H25" s="20"/>
    </row>
    <row r="33" spans="2:8" ht="24" x14ac:dyDescent="0.4">
      <c r="B33" s="24"/>
      <c r="C33" s="22"/>
      <c r="D33" s="22"/>
      <c r="E33" s="22"/>
      <c r="F33" s="22"/>
      <c r="G33" s="22"/>
      <c r="H33" s="22"/>
    </row>
    <row r="34" spans="2:8" ht="15.75" x14ac:dyDescent="0.25">
      <c r="B34" s="21"/>
      <c r="C34" s="22"/>
      <c r="D34" s="22"/>
      <c r="E34" s="22"/>
      <c r="F34" s="22"/>
      <c r="G34" s="22"/>
      <c r="H34" s="22"/>
    </row>
    <row r="35" spans="2:8" ht="15.75" x14ac:dyDescent="0.25">
      <c r="B35" s="17"/>
      <c r="C35" s="17"/>
      <c r="D35" s="17"/>
      <c r="E35" s="17"/>
      <c r="F35" s="17"/>
      <c r="G35" s="17"/>
      <c r="H35" s="17"/>
    </row>
    <row r="37" spans="2:8" ht="15.75" x14ac:dyDescent="0.25">
      <c r="B37" s="21"/>
      <c r="C37" s="22"/>
      <c r="D37" s="22"/>
      <c r="E37" s="22"/>
      <c r="F37" s="22"/>
      <c r="G37" s="22"/>
      <c r="H37" s="22"/>
    </row>
    <row r="38" spans="2:8" ht="15.75" x14ac:dyDescent="0.25">
      <c r="B38" s="18"/>
      <c r="C38" s="18"/>
      <c r="D38" s="18"/>
      <c r="E38" s="18"/>
      <c r="F38" s="18"/>
      <c r="G38" s="18"/>
      <c r="H38" s="18"/>
    </row>
    <row r="43" spans="2:8" ht="15.75" x14ac:dyDescent="0.25">
      <c r="B43" s="21"/>
      <c r="C43" s="22"/>
      <c r="D43" s="22"/>
      <c r="E43" s="22"/>
      <c r="F43" s="22"/>
      <c r="G43" s="22"/>
      <c r="H43" s="22"/>
    </row>
    <row r="44" spans="2:8" ht="15.75" x14ac:dyDescent="0.25">
      <c r="B44" s="19"/>
      <c r="C44" s="19"/>
      <c r="D44" s="19"/>
      <c r="E44" s="19"/>
      <c r="F44" s="19"/>
      <c r="G44" s="19"/>
      <c r="H44" s="19"/>
    </row>
    <row r="52" spans="2:8" ht="15.75" x14ac:dyDescent="0.25">
      <c r="B52" s="21"/>
      <c r="C52" s="22"/>
      <c r="D52" s="22"/>
      <c r="E52" s="22"/>
      <c r="F52" s="22"/>
      <c r="G52" s="22"/>
      <c r="H52" s="22"/>
    </row>
    <row r="53" spans="2:8" ht="15.75" x14ac:dyDescent="0.25">
      <c r="B53" s="20"/>
      <c r="C53" s="20"/>
      <c r="D53" s="20"/>
      <c r="E53" s="20"/>
      <c r="F53" s="20"/>
      <c r="G53" s="20"/>
      <c r="H53" s="2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Configurações</vt:lpstr>
      <vt:lpstr>Barramentos</vt:lpstr>
      <vt:lpstr>Transformadores</vt:lpstr>
      <vt:lpstr>Linhas de Transmissão</vt:lpstr>
      <vt:lpstr>Máquinas</vt:lpstr>
      <vt:lpstr>Carga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2026-04-14T19:14:54Z</dcterms:modified>
</cp:coreProperties>
</file>